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nedgo\Desktop\"/>
    </mc:Choice>
  </mc:AlternateContent>
  <xr:revisionPtr revIDLastSave="0" documentId="13_ncr:1_{F96D50DA-D7E0-43BC-A0B7-15389422683F}" xr6:coauthVersionLast="47" xr6:coauthVersionMax="47" xr10:uidLastSave="{00000000-0000-0000-0000-000000000000}"/>
  <bookViews>
    <workbookView xWindow="-108" yWindow="-108" windowWidth="23256" windowHeight="13896" activeTab="2" xr2:uid="{C42E80C3-0EBB-4181-9FE3-C0DD3B2CEE77}"/>
  </bookViews>
  <sheets>
    <sheet name="2" sheetId="2" r:id="rId1"/>
    <sheet name="3" sheetId="3" r:id="rId2"/>
    <sheet name="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4" i="4" l="1"/>
  <c r="T40" i="4"/>
  <c r="T38" i="4"/>
  <c r="T36" i="4"/>
  <c r="T34" i="4"/>
  <c r="T32" i="4"/>
  <c r="T30" i="4"/>
  <c r="T28" i="4"/>
  <c r="T26" i="4"/>
  <c r="T21" i="4"/>
  <c r="T19" i="4"/>
  <c r="T17" i="4"/>
  <c r="T15" i="4"/>
  <c r="T13" i="4"/>
  <c r="T11" i="4"/>
  <c r="T9" i="4"/>
  <c r="T7" i="4"/>
  <c r="T5" i="4"/>
  <c r="I5" i="4"/>
  <c r="T40" i="3"/>
  <c r="T38" i="3"/>
  <c r="T36" i="3"/>
  <c r="T34" i="3"/>
  <c r="T32" i="3"/>
  <c r="T30" i="3"/>
  <c r="T28" i="3"/>
  <c r="T26" i="3"/>
  <c r="T21" i="3"/>
  <c r="T19" i="3"/>
  <c r="T17" i="3"/>
  <c r="T15" i="3"/>
  <c r="T13" i="3"/>
  <c r="T11" i="3"/>
  <c r="T9" i="3"/>
  <c r="T7" i="3"/>
  <c r="T5" i="3"/>
  <c r="I5" i="3"/>
  <c r="Q37" i="2"/>
  <c r="Q35" i="2"/>
  <c r="Q33" i="2"/>
  <c r="Q31" i="2"/>
  <c r="Q29" i="2"/>
  <c r="Q27" i="2"/>
  <c r="Q25" i="2"/>
  <c r="Q23" i="2"/>
  <c r="Q21" i="2"/>
  <c r="Q19" i="2"/>
  <c r="Q17" i="2"/>
  <c r="Q15" i="2"/>
  <c r="Q13" i="2"/>
  <c r="Q11" i="2"/>
  <c r="Q9" i="2"/>
  <c r="Q7" i="2"/>
  <c r="Q5" i="2"/>
  <c r="I5" i="2"/>
</calcChain>
</file>

<file path=xl/sharedStrings.xml><?xml version="1.0" encoding="utf-8"?>
<sst xmlns="http://schemas.openxmlformats.org/spreadsheetml/2006/main" count="91" uniqueCount="10">
  <si>
    <t>A</t>
  </si>
  <si>
    <t>B</t>
  </si>
  <si>
    <t>C</t>
  </si>
  <si>
    <t>D</t>
  </si>
  <si>
    <t>E</t>
  </si>
  <si>
    <t>F</t>
  </si>
  <si>
    <t>Beacon Croft</t>
  </si>
  <si>
    <t>Ironbridge</t>
  </si>
  <si>
    <t>…</t>
  </si>
  <si>
    <t>250 shifted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</si>
</sst>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121920</xdr:rowOff>
    </xdr:from>
    <xdr:to>
      <xdr:col>1</xdr:col>
      <xdr:colOff>266700</xdr:colOff>
      <xdr:row>26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023CDB-7425-42AE-8948-B4A425AD5AD5}"/>
            </a:ext>
          </a:extLst>
        </xdr:cNvPr>
        <xdr:cNvSpPr txBox="1"/>
      </xdr:nvSpPr>
      <xdr:spPr>
        <a:xfrm rot="16200000">
          <a:off x="-800100" y="3360420"/>
          <a:ext cx="25069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decimal</a:t>
          </a:r>
          <a:r>
            <a:rPr lang="en-US" sz="1400"/>
            <a:t> (rotor with</a:t>
          </a:r>
          <a:r>
            <a:rPr lang="en-US" sz="1400" baseline="0"/>
            <a:t> </a:t>
          </a:r>
          <a:r>
            <a:rPr lang="en-US" sz="1400"/>
            <a:t>10 symbols)</a:t>
          </a:r>
        </a:p>
      </xdr:txBody>
    </xdr:sp>
    <xdr:clientData/>
  </xdr:twoCellAnchor>
  <xdr:twoCellAnchor editAs="oneCell">
    <xdr:from>
      <xdr:col>27</xdr:col>
      <xdr:colOff>251460</xdr:colOff>
      <xdr:row>2</xdr:row>
      <xdr:rowOff>121920</xdr:rowOff>
    </xdr:from>
    <xdr:to>
      <xdr:col>31</xdr:col>
      <xdr:colOff>297180</xdr:colOff>
      <xdr:row>11</xdr:row>
      <xdr:rowOff>76200</xdr:rowOff>
    </xdr:to>
    <xdr:pic>
      <xdr:nvPicPr>
        <xdr:cNvPr id="3" name="Picture 2" descr="Beacon croft lichfield Archives ...">
          <a:extLst>
            <a:ext uri="{FF2B5EF4-FFF2-40B4-BE49-F238E27FC236}">
              <a16:creationId xmlns:a16="http://schemas.microsoft.com/office/drawing/2014/main" id="{CC39E207-0E7B-471F-A764-1C48232351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3" r="5154"/>
        <a:stretch/>
      </xdr:blipFill>
      <xdr:spPr bwMode="auto">
        <a:xfrm>
          <a:off x="8282940" y="472440"/>
          <a:ext cx="2377440" cy="154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121920</xdr:colOff>
      <xdr:row>26</xdr:row>
      <xdr:rowOff>0</xdr:rowOff>
    </xdr:from>
    <xdr:to>
      <xdr:col>31</xdr:col>
      <xdr:colOff>617220</xdr:colOff>
      <xdr:row>36</xdr:row>
      <xdr:rowOff>45720</xdr:rowOff>
    </xdr:to>
    <xdr:pic>
      <xdr:nvPicPr>
        <xdr:cNvPr id="4" name="Picture 3" descr="The Ironbridge Gorge Museums">
          <a:extLst>
            <a:ext uri="{FF2B5EF4-FFF2-40B4-BE49-F238E27FC236}">
              <a16:creationId xmlns:a16="http://schemas.microsoft.com/office/drawing/2014/main" id="{836FB84C-FA83-433E-9442-089789222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3440" y="4587240"/>
          <a:ext cx="2506980" cy="182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53340</xdr:colOff>
      <xdr:row>3</xdr:row>
      <xdr:rowOff>83820</xdr:rowOff>
    </xdr:from>
    <xdr:to>
      <xdr:col>24</xdr:col>
      <xdr:colOff>129540</xdr:colOff>
      <xdr:row>3</xdr:row>
      <xdr:rowOff>83820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CF0C029-0B2D-41F8-A28C-62C21AA947EA}"/>
            </a:ext>
          </a:extLst>
        </xdr:cNvPr>
        <xdr:cNvCxnSpPr/>
      </xdr:nvCxnSpPr>
      <xdr:spPr>
        <a:xfrm flipH="1">
          <a:off x="693420" y="617220"/>
          <a:ext cx="650748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</xdr:colOff>
      <xdr:row>35</xdr:row>
      <xdr:rowOff>91440</xdr:rowOff>
    </xdr:from>
    <xdr:to>
      <xdr:col>24</xdr:col>
      <xdr:colOff>83820</xdr:colOff>
      <xdr:row>35</xdr:row>
      <xdr:rowOff>91440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5CCD3E6-F676-45B1-8E40-9DCCF2919978}"/>
            </a:ext>
          </a:extLst>
        </xdr:cNvPr>
        <xdr:cNvCxnSpPr/>
      </xdr:nvCxnSpPr>
      <xdr:spPr>
        <a:xfrm flipH="1">
          <a:off x="670560" y="6263640"/>
          <a:ext cx="648462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45720</xdr:rowOff>
    </xdr:from>
    <xdr:to>
      <xdr:col>8</xdr:col>
      <xdr:colOff>266700</xdr:colOff>
      <xdr:row>17</xdr:row>
      <xdr:rowOff>137160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2A4559-8A7E-4D3C-A74B-96B2B3B10BCE}"/>
            </a:ext>
          </a:extLst>
        </xdr:cNvPr>
        <xdr:cNvSpPr txBox="1"/>
      </xdr:nvSpPr>
      <xdr:spPr>
        <a:xfrm rot="16200000">
          <a:off x="1303020" y="1813560"/>
          <a:ext cx="23698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2">
                  <a:lumMod val="50000"/>
                  <a:lumOff val="50000"/>
                </a:schemeClr>
              </a:solidFill>
            </a:rPr>
            <a:t>binary</a:t>
          </a:r>
          <a:r>
            <a:rPr lang="en-US" sz="1400">
              <a:solidFill>
                <a:schemeClr val="tx2">
                  <a:lumMod val="50000"/>
                  <a:lumOff val="50000"/>
                </a:schemeClr>
              </a:solidFill>
            </a:rPr>
            <a:t> (rotor with</a:t>
          </a:r>
          <a:r>
            <a:rPr lang="en-US" sz="1400" baseline="0">
              <a:solidFill>
                <a:schemeClr val="tx2">
                  <a:lumMod val="50000"/>
                  <a:lumOff val="50000"/>
                </a:schemeClr>
              </a:solidFill>
            </a:rPr>
            <a:t> </a:t>
          </a:r>
          <a:r>
            <a:rPr lang="en-US" sz="1400">
              <a:solidFill>
                <a:schemeClr val="tx2">
                  <a:lumMod val="50000"/>
                  <a:lumOff val="50000"/>
                </a:schemeClr>
              </a:solidFill>
            </a:rPr>
            <a:t>2 symbols)</a:t>
          </a:r>
        </a:p>
      </xdr:txBody>
    </xdr:sp>
    <xdr:clientData/>
  </xdr:twoCellAnchor>
  <xdr:twoCellAnchor>
    <xdr:from>
      <xdr:col>26</xdr:col>
      <xdr:colOff>7620</xdr:colOff>
      <xdr:row>4</xdr:row>
      <xdr:rowOff>38100</xdr:rowOff>
    </xdr:from>
    <xdr:to>
      <xdr:col>26</xdr:col>
      <xdr:colOff>22860</xdr:colOff>
      <xdr:row>34</xdr:row>
      <xdr:rowOff>137160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2D5D205-304A-49B1-AA3F-DFD1F15ADD90}"/>
            </a:ext>
          </a:extLst>
        </xdr:cNvPr>
        <xdr:cNvCxnSpPr/>
      </xdr:nvCxnSpPr>
      <xdr:spPr>
        <a:xfrm flipV="1">
          <a:off x="7719060" y="754380"/>
          <a:ext cx="15240" cy="5372100"/>
        </a:xfrm>
        <a:prstGeom prst="line">
          <a:avLst/>
        </a:prstGeom>
        <a:ln>
          <a:solidFill>
            <a:schemeClr val="accent2"/>
          </a:solidFill>
          <a:headEnd type="triangle" w="lg" len="lg"/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281941</xdr:colOff>
      <xdr:row>5</xdr:row>
      <xdr:rowOff>31568</xdr:rowOff>
    </xdr:from>
    <xdr:to>
      <xdr:col>27</xdr:col>
      <xdr:colOff>53341</xdr:colOff>
      <xdr:row>8</xdr:row>
      <xdr:rowOff>15240</xdr:rowOff>
    </xdr:to>
    <xdr:pic>
      <xdr:nvPicPr>
        <xdr:cNvPr id="9" name="Picture 8" descr="Bike Logo Images – Browse 214,448 Stock ...">
          <a:extLst>
            <a:ext uri="{FF2B5EF4-FFF2-40B4-BE49-F238E27FC236}">
              <a16:creationId xmlns:a16="http://schemas.microsoft.com/office/drawing/2014/main" id="{DB82DBAC-0154-411D-BCFE-C4977D14B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3301" y="923108"/>
          <a:ext cx="731520" cy="50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45720</xdr:colOff>
      <xdr:row>19</xdr:row>
      <xdr:rowOff>76200</xdr:rowOff>
    </xdr:from>
    <xdr:to>
      <xdr:col>35</xdr:col>
      <xdr:colOff>487680</xdr:colOff>
      <xdr:row>26</xdr:row>
      <xdr:rowOff>45720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327A88-BF35-42B0-81C7-CD3E0E31AFF8}"/>
            </a:ext>
          </a:extLst>
        </xdr:cNvPr>
        <xdr:cNvSpPr txBox="1"/>
      </xdr:nvSpPr>
      <xdr:spPr>
        <a:xfrm>
          <a:off x="7757160" y="3429000"/>
          <a:ext cx="5775960" cy="1203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>
              <a:solidFill>
                <a:sysClr val="windowText" lastClr="000000"/>
              </a:solidFill>
            </a:rPr>
            <a:t>The cycling distance from Beacon Croft</a:t>
          </a:r>
          <a:r>
            <a:rPr lang="en-US" sz="1400" b="0" baseline="0">
              <a:solidFill>
                <a:sysClr val="windowText" lastClr="000000"/>
              </a:solidFill>
            </a:rPr>
            <a:t> to Ironbridge is :</a:t>
          </a:r>
        </a:p>
        <a:p>
          <a:r>
            <a:rPr lang="en-US" sz="1400" b="0" baseline="0">
              <a:solidFill>
                <a:sysClr val="windowText" lastClr="000000"/>
              </a:solidFill>
            </a:rPr>
            <a:t>         32 miles     (decimal)          "thirty two miles"</a:t>
          </a:r>
        </a:p>
        <a:p>
          <a:r>
            <a:rPr lang="en-US" sz="1400" b="0" baseline="0">
              <a:solidFill>
                <a:schemeClr val="tx2">
                  <a:lumMod val="50000"/>
                  <a:lumOff val="50000"/>
                </a:schemeClr>
              </a:solidFill>
            </a:rPr>
            <a:t>100000 miles     (binary)             "binary one zero zero zero zero zero miles"  </a:t>
          </a:r>
        </a:p>
        <a:p>
          <a:r>
            <a:rPr lang="en-US" sz="1400" b="0" baseline="0">
              <a:solidFill>
                <a:schemeClr val="accent6"/>
              </a:solidFill>
            </a:rPr>
            <a:t>         20 miles     (hexadecimal) "hex two zero miles"</a:t>
          </a:r>
          <a:endParaRPr lang="en-US" sz="1400" b="0">
            <a:solidFill>
              <a:schemeClr val="accent6"/>
            </a:solidFill>
          </a:endParaRPr>
        </a:p>
      </xdr:txBody>
    </xdr:sp>
    <xdr:clientData/>
  </xdr:twoCellAnchor>
  <xdr:twoCellAnchor>
    <xdr:from>
      <xdr:col>19</xdr:col>
      <xdr:colOff>0</xdr:colOff>
      <xdr:row>18</xdr:row>
      <xdr:rowOff>114300</xdr:rowOff>
    </xdr:from>
    <xdr:to>
      <xdr:col>19</xdr:col>
      <xdr:colOff>266700</xdr:colOff>
      <xdr:row>34</xdr:row>
      <xdr:rowOff>144780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721F7B0-8BE5-42C0-8E31-77B5F85E6F36}"/>
            </a:ext>
          </a:extLst>
        </xdr:cNvPr>
        <xdr:cNvSpPr txBox="1"/>
      </xdr:nvSpPr>
      <xdr:spPr>
        <a:xfrm rot="16200000">
          <a:off x="4385310" y="4575810"/>
          <a:ext cx="28498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accent6"/>
              </a:solidFill>
            </a:rPr>
            <a:t>hexadecimal</a:t>
          </a:r>
          <a:r>
            <a:rPr lang="en-US" sz="1400">
              <a:solidFill>
                <a:schemeClr val="accent6"/>
              </a:solidFill>
            </a:rPr>
            <a:t> (rotor with</a:t>
          </a:r>
          <a:r>
            <a:rPr lang="en-US" sz="1400" baseline="0">
              <a:solidFill>
                <a:schemeClr val="accent6"/>
              </a:solidFill>
            </a:rPr>
            <a:t> </a:t>
          </a:r>
          <a:r>
            <a:rPr lang="en-US" sz="1400">
              <a:solidFill>
                <a:schemeClr val="accent6"/>
              </a:solidFill>
            </a:rPr>
            <a:t>16 symbols)</a:t>
          </a:r>
        </a:p>
      </xdr:txBody>
    </xdr:sp>
    <xdr:clientData/>
  </xdr:twoCellAnchor>
  <xdr:twoCellAnchor>
    <xdr:from>
      <xdr:col>16</xdr:col>
      <xdr:colOff>38100</xdr:colOff>
      <xdr:row>0</xdr:row>
      <xdr:rowOff>91440</xdr:rowOff>
    </xdr:from>
    <xdr:to>
      <xdr:col>17</xdr:col>
      <xdr:colOff>53340</xdr:colOff>
      <xdr:row>2</xdr:row>
      <xdr:rowOff>7620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8E855C2-2809-4ED9-8E23-02C0AC5070B8}"/>
            </a:ext>
          </a:extLst>
        </xdr:cNvPr>
        <xdr:cNvSpPr txBox="1"/>
      </xdr:nvSpPr>
      <xdr:spPr>
        <a:xfrm>
          <a:off x="475488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5</xdr:col>
      <xdr:colOff>0</xdr:colOff>
      <xdr:row>0</xdr:row>
      <xdr:rowOff>99060</xdr:rowOff>
    </xdr:from>
    <xdr:to>
      <xdr:col>6</xdr:col>
      <xdr:colOff>121920</xdr:colOff>
      <xdr:row>2</xdr:row>
      <xdr:rowOff>15240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099C387-CEE2-4DB8-8B05-2159573C2A00}"/>
            </a:ext>
          </a:extLst>
        </xdr:cNvPr>
        <xdr:cNvSpPr txBox="1"/>
      </xdr:nvSpPr>
      <xdr:spPr>
        <a:xfrm>
          <a:off x="1394460" y="9906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10</a:t>
          </a:r>
          <a:r>
            <a:rPr lang="en-US" sz="1200" baseline="300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3</xdr:col>
      <xdr:colOff>281940</xdr:colOff>
      <xdr:row>0</xdr:row>
      <xdr:rowOff>99060</xdr:rowOff>
    </xdr:from>
    <xdr:to>
      <xdr:col>5</xdr:col>
      <xdr:colOff>76200</xdr:colOff>
      <xdr:row>2</xdr:row>
      <xdr:rowOff>15240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4D7A4A1-9499-464E-B840-57ACB56C99D3}"/>
            </a:ext>
          </a:extLst>
        </xdr:cNvPr>
        <xdr:cNvSpPr txBox="1"/>
      </xdr:nvSpPr>
      <xdr:spPr>
        <a:xfrm>
          <a:off x="1036320" y="99060"/>
          <a:ext cx="43434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10</a:t>
          </a:r>
          <a:r>
            <a:rPr lang="en-US" sz="1200" baseline="30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2</xdr:col>
      <xdr:colOff>91440</xdr:colOff>
      <xdr:row>0</xdr:row>
      <xdr:rowOff>99060</xdr:rowOff>
    </xdr:from>
    <xdr:to>
      <xdr:col>4</xdr:col>
      <xdr:colOff>83820</xdr:colOff>
      <xdr:row>2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93EE4EE-65D7-4E11-AFC1-A68F1B662DF6}"/>
            </a:ext>
          </a:extLst>
        </xdr:cNvPr>
        <xdr:cNvSpPr txBox="1"/>
      </xdr:nvSpPr>
      <xdr:spPr>
        <a:xfrm>
          <a:off x="731520" y="99060"/>
          <a:ext cx="4267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10</a:t>
          </a:r>
          <a:r>
            <a:rPr lang="en-US" sz="1200" baseline="30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15</xdr:col>
      <xdr:colOff>30480</xdr:colOff>
      <xdr:row>0</xdr:row>
      <xdr:rowOff>91440</xdr:rowOff>
    </xdr:from>
    <xdr:to>
      <xdr:col>16</xdr:col>
      <xdr:colOff>45720</xdr:colOff>
      <xdr:row>2</xdr:row>
      <xdr:rowOff>7620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B5BEA76-B151-48A5-8461-F9192B5AD6A5}"/>
            </a:ext>
          </a:extLst>
        </xdr:cNvPr>
        <xdr:cNvSpPr txBox="1"/>
      </xdr:nvSpPr>
      <xdr:spPr>
        <a:xfrm>
          <a:off x="442722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14</xdr:col>
      <xdr:colOff>38100</xdr:colOff>
      <xdr:row>0</xdr:row>
      <xdr:rowOff>91440</xdr:rowOff>
    </xdr:from>
    <xdr:to>
      <xdr:col>15</xdr:col>
      <xdr:colOff>53340</xdr:colOff>
      <xdr:row>2</xdr:row>
      <xdr:rowOff>7620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0443263-D798-495E-A0B2-70C6ACC74F76}"/>
            </a:ext>
          </a:extLst>
        </xdr:cNvPr>
        <xdr:cNvSpPr txBox="1"/>
      </xdr:nvSpPr>
      <xdr:spPr>
        <a:xfrm>
          <a:off x="411480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13</xdr:col>
      <xdr:colOff>45720</xdr:colOff>
      <xdr:row>0</xdr:row>
      <xdr:rowOff>91440</xdr:rowOff>
    </xdr:from>
    <xdr:to>
      <xdr:col>14</xdr:col>
      <xdr:colOff>60960</xdr:colOff>
      <xdr:row>2</xdr:row>
      <xdr:rowOff>7620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FB7B2F0-F4BC-4BB2-8CD7-1FB7076E4A95}"/>
            </a:ext>
          </a:extLst>
        </xdr:cNvPr>
        <xdr:cNvSpPr txBox="1"/>
      </xdr:nvSpPr>
      <xdr:spPr>
        <a:xfrm>
          <a:off x="380238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12</xdr:col>
      <xdr:colOff>38100</xdr:colOff>
      <xdr:row>0</xdr:row>
      <xdr:rowOff>99060</xdr:rowOff>
    </xdr:from>
    <xdr:to>
      <xdr:col>13</xdr:col>
      <xdr:colOff>53340</xdr:colOff>
      <xdr:row>2</xdr:row>
      <xdr:rowOff>15240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2BB25E6-27E4-4B71-A054-8B69CCEE5508}"/>
            </a:ext>
          </a:extLst>
        </xdr:cNvPr>
        <xdr:cNvSpPr txBox="1"/>
      </xdr:nvSpPr>
      <xdr:spPr>
        <a:xfrm>
          <a:off x="3474720" y="9906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11</xdr:col>
      <xdr:colOff>15240</xdr:colOff>
      <xdr:row>0</xdr:row>
      <xdr:rowOff>99060</xdr:rowOff>
    </xdr:from>
    <xdr:to>
      <xdr:col>12</xdr:col>
      <xdr:colOff>30480</xdr:colOff>
      <xdr:row>2</xdr:row>
      <xdr:rowOff>15240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3E7D308-D815-4213-B231-4C5D623CBC17}"/>
            </a:ext>
          </a:extLst>
        </xdr:cNvPr>
        <xdr:cNvSpPr txBox="1"/>
      </xdr:nvSpPr>
      <xdr:spPr>
        <a:xfrm>
          <a:off x="3131820" y="9906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10</xdr:col>
      <xdr:colOff>22860</xdr:colOff>
      <xdr:row>0</xdr:row>
      <xdr:rowOff>99060</xdr:rowOff>
    </xdr:from>
    <xdr:to>
      <xdr:col>11</xdr:col>
      <xdr:colOff>38100</xdr:colOff>
      <xdr:row>2</xdr:row>
      <xdr:rowOff>15240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BC1B1FD-EB6D-4349-B7A5-5346C7310B57}"/>
            </a:ext>
          </a:extLst>
        </xdr:cNvPr>
        <xdr:cNvSpPr txBox="1"/>
      </xdr:nvSpPr>
      <xdr:spPr>
        <a:xfrm>
          <a:off x="2819400" y="9906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22</xdr:col>
      <xdr:colOff>312420</xdr:colOff>
      <xdr:row>0</xdr:row>
      <xdr:rowOff>83820</xdr:rowOff>
    </xdr:from>
    <xdr:to>
      <xdr:col>24</xdr:col>
      <xdr:colOff>114300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7B3C2F2-2972-4929-9C86-B2D6E04849E7}"/>
            </a:ext>
          </a:extLst>
        </xdr:cNvPr>
        <xdr:cNvSpPr txBox="1"/>
      </xdr:nvSpPr>
      <xdr:spPr>
        <a:xfrm>
          <a:off x="6743700" y="8382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21</xdr:col>
      <xdr:colOff>312420</xdr:colOff>
      <xdr:row>0</xdr:row>
      <xdr:rowOff>76200</xdr:rowOff>
    </xdr:from>
    <xdr:to>
      <xdr:col>23</xdr:col>
      <xdr:colOff>114300</xdr:colOff>
      <xdr:row>1</xdr:row>
      <xdr:rowOff>167640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2CF4AB9-C15D-4895-8C89-71F8B5EB95B2}"/>
            </a:ext>
          </a:extLst>
        </xdr:cNvPr>
        <xdr:cNvSpPr txBox="1"/>
      </xdr:nvSpPr>
      <xdr:spPr>
        <a:xfrm>
          <a:off x="6423660" y="7620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20</xdr:col>
      <xdr:colOff>99060</xdr:colOff>
      <xdr:row>0</xdr:row>
      <xdr:rowOff>76200</xdr:rowOff>
    </xdr:from>
    <xdr:to>
      <xdr:col>22</xdr:col>
      <xdr:colOff>106680</xdr:colOff>
      <xdr:row>1</xdr:row>
      <xdr:rowOff>167640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FEC5ADC-B39C-4CCD-837C-BAE83B0E120A}"/>
            </a:ext>
          </a:extLst>
        </xdr:cNvPr>
        <xdr:cNvSpPr txBox="1"/>
      </xdr:nvSpPr>
      <xdr:spPr>
        <a:xfrm>
          <a:off x="6096000" y="7620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0</xdr:col>
      <xdr:colOff>0</xdr:colOff>
      <xdr:row>27</xdr:row>
      <xdr:rowOff>0</xdr:rowOff>
    </xdr:from>
    <xdr:to>
      <xdr:col>7</xdr:col>
      <xdr:colOff>182880</xdr:colOff>
      <xdr:row>31</xdr:row>
      <xdr:rowOff>45720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0B17ABE-C26A-4960-888D-A199433C14D9}"/>
            </a:ext>
          </a:extLst>
        </xdr:cNvPr>
        <xdr:cNvSpPr txBox="1"/>
      </xdr:nvSpPr>
      <xdr:spPr>
        <a:xfrm>
          <a:off x="0" y="4762500"/>
          <a:ext cx="2217420" cy="746760"/>
        </a:xfrm>
        <a:prstGeom prst="rect">
          <a:avLst/>
        </a:prstGeom>
        <a:solidFill>
          <a:schemeClr val="lt1">
            <a:alpha val="77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baseline="0">
              <a:solidFill>
                <a:sysClr val="windowText" lastClr="000000"/>
              </a:solidFill>
            </a:rPr>
            <a:t>a given symbol in decimal </a:t>
          </a:r>
        </a:p>
        <a:p>
          <a:r>
            <a:rPr lang="en-US" sz="1400" b="1" u="sng" baseline="0">
              <a:solidFill>
                <a:sysClr val="windowText" lastClr="000000"/>
              </a:solidFill>
            </a:rPr>
            <a:t>doesn't</a:t>
          </a:r>
          <a:r>
            <a:rPr lang="en-US" sz="1400" b="0" baseline="0">
              <a:solidFill>
                <a:sysClr val="windowText" lastClr="000000"/>
              </a:solidFill>
            </a:rPr>
            <a:t> always line up with</a:t>
          </a:r>
        </a:p>
        <a:p>
          <a:r>
            <a:rPr lang="en-US" sz="1400" b="0" baseline="0">
              <a:solidFill>
                <a:sysClr val="windowText" lastClr="000000"/>
              </a:solidFill>
            </a:rPr>
            <a:t>the same symbols in binary </a:t>
          </a:r>
          <a:endParaRPr lang="en-US" sz="1400" b="0">
            <a:solidFill>
              <a:schemeClr val="accent6"/>
            </a:solidFill>
          </a:endParaRPr>
        </a:p>
      </xdr:txBody>
    </xdr:sp>
    <xdr:clientData/>
  </xdr:twoCellAnchor>
  <xdr:twoCellAnchor>
    <xdr:from>
      <xdr:col>17</xdr:col>
      <xdr:colOff>190500</xdr:colOff>
      <xdr:row>23</xdr:row>
      <xdr:rowOff>152400</xdr:rowOff>
    </xdr:from>
    <xdr:to>
      <xdr:col>25</xdr:col>
      <xdr:colOff>312420</xdr:colOff>
      <xdr:row>28</xdr:row>
      <xdr:rowOff>45720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00D9258-F7AD-4679-B1AD-A03AC77E0C7B}"/>
            </a:ext>
          </a:extLst>
        </xdr:cNvPr>
        <xdr:cNvSpPr txBox="1"/>
      </xdr:nvSpPr>
      <xdr:spPr>
        <a:xfrm>
          <a:off x="5227320" y="4213860"/>
          <a:ext cx="2476500" cy="769620"/>
        </a:xfrm>
        <a:prstGeom prst="rect">
          <a:avLst/>
        </a:prstGeom>
        <a:solidFill>
          <a:schemeClr val="lt1">
            <a:alpha val="77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baseline="0">
              <a:solidFill>
                <a:schemeClr val="accent6"/>
              </a:solidFill>
            </a:rPr>
            <a:t>a given symbol in hexadecimal </a:t>
          </a:r>
        </a:p>
        <a:p>
          <a:r>
            <a:rPr lang="en-US" sz="1400" b="1" u="sng" baseline="0">
              <a:solidFill>
                <a:schemeClr val="accent6"/>
              </a:solidFill>
            </a:rPr>
            <a:t>does</a:t>
          </a:r>
          <a:r>
            <a:rPr lang="en-US" sz="1400" b="0" baseline="0">
              <a:solidFill>
                <a:schemeClr val="accent6"/>
              </a:solidFill>
            </a:rPr>
            <a:t> always line up with</a:t>
          </a:r>
        </a:p>
        <a:p>
          <a:r>
            <a:rPr lang="en-US" sz="1400" b="0" baseline="0">
              <a:solidFill>
                <a:schemeClr val="accent6"/>
              </a:solidFill>
            </a:rPr>
            <a:t>the same symbols in binary </a:t>
          </a:r>
          <a:endParaRPr lang="en-US" sz="1400" b="0">
            <a:solidFill>
              <a:schemeClr val="accent6"/>
            </a:solidFill>
          </a:endParaRPr>
        </a:p>
      </xdr:txBody>
    </xdr:sp>
    <xdr:clientData/>
  </xdr:twoCellAnchor>
  <xdr:twoCellAnchor>
    <xdr:from>
      <xdr:col>27</xdr:col>
      <xdr:colOff>266700</xdr:colOff>
      <xdr:row>16</xdr:row>
      <xdr:rowOff>22860</xdr:rowOff>
    </xdr:from>
    <xdr:to>
      <xdr:col>35</xdr:col>
      <xdr:colOff>152400</xdr:colOff>
      <xdr:row>17</xdr:row>
      <xdr:rowOff>167640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5D67F68-746C-49F1-84A4-D854AD16D68B}"/>
            </a:ext>
          </a:extLst>
        </xdr:cNvPr>
        <xdr:cNvSpPr txBox="1"/>
      </xdr:nvSpPr>
      <xdr:spPr>
        <a:xfrm>
          <a:off x="8298180" y="2842260"/>
          <a:ext cx="489966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>
                  <a:lumMod val="75000"/>
                </a:schemeClr>
              </a:solidFill>
            </a:rPr>
            <a:t>    digit</a:t>
          </a:r>
          <a:r>
            <a:rPr lang="en-US" sz="1400" b="0">
              <a:solidFill>
                <a:sysClr val="windowText" lastClr="000000"/>
              </a:solidFill>
            </a:rPr>
            <a:t> : 1 black (but this word isn't</a:t>
          </a:r>
          <a:r>
            <a:rPr lang="en-US" sz="1400" b="0" baseline="0">
              <a:solidFill>
                <a:sysClr val="windowText" lastClr="000000"/>
              </a:solidFill>
            </a:rPr>
            <a:t> always used clearly)</a:t>
          </a:r>
          <a:r>
            <a:rPr lang="en-US" sz="1400" b="0">
              <a:solidFill>
                <a:sysClr val="windowText" lastClr="000000"/>
              </a:solidFill>
            </a:rPr>
            <a:t>  </a:t>
          </a:r>
        </a:p>
        <a:p>
          <a:endParaRPr lang="en-US" sz="1400" b="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27</xdr:col>
      <xdr:colOff>259080</xdr:colOff>
      <xdr:row>12</xdr:row>
      <xdr:rowOff>60960</xdr:rowOff>
    </xdr:from>
    <xdr:to>
      <xdr:col>31</xdr:col>
      <xdr:colOff>15240</xdr:colOff>
      <xdr:row>16</xdr:row>
      <xdr:rowOff>144780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BB9682A-573E-421C-9538-C1B33FFFF247}"/>
            </a:ext>
          </a:extLst>
        </xdr:cNvPr>
        <xdr:cNvSpPr txBox="1"/>
      </xdr:nvSpPr>
      <xdr:spPr>
        <a:xfrm>
          <a:off x="8290560" y="2179320"/>
          <a:ext cx="2087880" cy="784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baseline="0">
              <a:solidFill>
                <a:schemeClr val="bg1">
                  <a:lumMod val="75000"/>
                </a:schemeClr>
              </a:solidFill>
            </a:rPr>
            <a:t>       bit</a:t>
          </a:r>
          <a:r>
            <a:rPr lang="en-US" sz="1400" b="0" baseline="0">
              <a:solidFill>
                <a:schemeClr val="tx2">
                  <a:lumMod val="50000"/>
                  <a:lumOff val="50000"/>
                </a:schemeClr>
              </a:solidFill>
            </a:rPr>
            <a:t> : 1 blue  </a:t>
          </a:r>
        </a:p>
        <a:p>
          <a:r>
            <a:rPr lang="en-US" sz="1400" b="1" baseline="0">
              <a:solidFill>
                <a:schemeClr val="bg1">
                  <a:lumMod val="75000"/>
                </a:schemeClr>
              </a:solidFill>
            </a:rPr>
            <a:t>nibble</a:t>
          </a:r>
          <a:r>
            <a:rPr lang="en-US" sz="1400" b="0" baseline="0">
              <a:solidFill>
                <a:sysClr val="windowText" lastClr="000000"/>
              </a:solidFill>
            </a:rPr>
            <a:t> :</a:t>
          </a:r>
          <a:r>
            <a:rPr lang="en-US" sz="1400" b="0" baseline="0">
              <a:solidFill>
                <a:schemeClr val="accent6"/>
              </a:solidFill>
            </a:rPr>
            <a:t> 1 green </a:t>
          </a:r>
          <a:r>
            <a:rPr lang="en-US" sz="1400" b="0" baseline="0">
              <a:solidFill>
                <a:schemeClr val="tx2">
                  <a:lumMod val="50000"/>
                  <a:lumOff val="50000"/>
                </a:schemeClr>
              </a:solidFill>
            </a:rPr>
            <a:t>4 blues</a:t>
          </a:r>
        </a:p>
        <a:p>
          <a:r>
            <a:rPr lang="en-US" sz="1400" b="1" baseline="0">
              <a:solidFill>
                <a:schemeClr val="bg1">
                  <a:lumMod val="75000"/>
                </a:schemeClr>
              </a:solidFill>
            </a:rPr>
            <a:t>    byte</a:t>
          </a:r>
          <a:r>
            <a:rPr lang="en-US" sz="1400" b="0" baseline="0">
              <a:solidFill>
                <a:schemeClr val="tx2">
                  <a:lumMod val="50000"/>
                  <a:lumOff val="50000"/>
                </a:schemeClr>
              </a:solidFill>
            </a:rPr>
            <a:t> : </a:t>
          </a:r>
          <a:r>
            <a:rPr lang="en-US" sz="1400" b="0" baseline="0">
              <a:solidFill>
                <a:schemeClr val="accent6"/>
              </a:solidFill>
            </a:rPr>
            <a:t>2 greens</a:t>
          </a:r>
          <a:r>
            <a:rPr lang="en-US" sz="1400" b="0" baseline="0">
              <a:solidFill>
                <a:schemeClr val="tx2">
                  <a:lumMod val="50000"/>
                  <a:lumOff val="50000"/>
                </a:schemeClr>
              </a:solidFill>
            </a:rPr>
            <a:t> 8 blues</a:t>
          </a:r>
        </a:p>
        <a:p>
          <a:endParaRPr lang="en-US" sz="1400" b="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31</xdr:col>
      <xdr:colOff>426720</xdr:colOff>
      <xdr:row>11</xdr:row>
      <xdr:rowOff>106680</xdr:rowOff>
    </xdr:from>
    <xdr:to>
      <xdr:col>36</xdr:col>
      <xdr:colOff>99060</xdr:colOff>
      <xdr:row>13</xdr:row>
      <xdr:rowOff>76200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6A593C7-0D24-4A35-99A7-9A1AA36E23AA}"/>
            </a:ext>
          </a:extLst>
        </xdr:cNvPr>
        <xdr:cNvSpPr txBox="1"/>
      </xdr:nvSpPr>
      <xdr:spPr>
        <a:xfrm>
          <a:off x="10789920" y="2049780"/>
          <a:ext cx="302514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baseline="0">
              <a:solidFill>
                <a:sysClr val="windowText" lastClr="000000"/>
              </a:solidFill>
            </a:rPr>
            <a:t>p42. "Each hex </a:t>
          </a:r>
          <a:r>
            <a:rPr lang="en-US" sz="1100" b="0" baseline="0">
              <a:solidFill>
                <a:srgbClr val="C00000"/>
              </a:solidFill>
            </a:rPr>
            <a:t>digit</a:t>
          </a:r>
          <a:r>
            <a:rPr lang="en-US" sz="1100" b="0" baseline="0">
              <a:solidFill>
                <a:sysClr val="windowText" lastClr="000000"/>
              </a:solidFill>
            </a:rPr>
            <a:t> is equal to a nibble in binary"</a:t>
          </a:r>
          <a:endParaRPr lang="en-US" sz="1100" b="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32</xdr:col>
      <xdr:colOff>76200</xdr:colOff>
      <xdr:row>12</xdr:row>
      <xdr:rowOff>152400</xdr:rowOff>
    </xdr:from>
    <xdr:to>
      <xdr:col>36</xdr:col>
      <xdr:colOff>419100</xdr:colOff>
      <xdr:row>16</xdr:row>
      <xdr:rowOff>68580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82BA3BB-6656-4E5C-ABAA-37E3E0389A11}"/>
            </a:ext>
          </a:extLst>
        </xdr:cNvPr>
        <xdr:cNvSpPr txBox="1"/>
      </xdr:nvSpPr>
      <xdr:spPr>
        <a:xfrm>
          <a:off x="11109960" y="2270760"/>
          <a:ext cx="3025140" cy="617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baseline="0">
              <a:solidFill>
                <a:sysClr val="windowText" lastClr="000000"/>
              </a:solidFill>
            </a:rPr>
            <a:t>It would be clearer to say : </a:t>
          </a:r>
        </a:p>
        <a:p>
          <a:r>
            <a:rPr lang="en-US" sz="1100" b="0" baseline="0">
              <a:solidFill>
                <a:sysClr val="windowText" lastClr="000000"/>
              </a:solidFill>
            </a:rPr>
            <a:t>"Each hex character represents four binary characters, also known as a nibble."</a:t>
          </a:r>
          <a:endParaRPr lang="en-US" sz="1100" b="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31</xdr:col>
      <xdr:colOff>60960</xdr:colOff>
      <xdr:row>12</xdr:row>
      <xdr:rowOff>144780</xdr:rowOff>
    </xdr:from>
    <xdr:to>
      <xdr:col>33</xdr:col>
      <xdr:colOff>22860</xdr:colOff>
      <xdr:row>16</xdr:row>
      <xdr:rowOff>121920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2E04DDCD-86E1-45DB-A365-2DB8417585CA}"/>
            </a:ext>
          </a:extLst>
        </xdr:cNvPr>
        <xdr:cNvCxnSpPr>
          <a:cxnSpLocks/>
        </xdr:cNvCxnSpPr>
      </xdr:nvCxnSpPr>
      <xdr:spPr>
        <a:xfrm flipV="1">
          <a:off x="10424160" y="2263140"/>
          <a:ext cx="1303020" cy="67818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426720</xdr:colOff>
      <xdr:row>5</xdr:row>
      <xdr:rowOff>91440</xdr:rowOff>
    </xdr:from>
    <xdr:to>
      <xdr:col>36</xdr:col>
      <xdr:colOff>99060</xdr:colOff>
      <xdr:row>7</xdr:row>
      <xdr:rowOff>60960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BF26C016-1696-4A9B-8955-A2EA35E2D3FA}"/>
            </a:ext>
          </a:extLst>
        </xdr:cNvPr>
        <xdr:cNvSpPr txBox="1"/>
      </xdr:nvSpPr>
      <xdr:spPr>
        <a:xfrm>
          <a:off x="10789920" y="982980"/>
          <a:ext cx="302514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baseline="0">
              <a:solidFill>
                <a:sysClr val="windowText" lastClr="000000"/>
              </a:solidFill>
            </a:rPr>
            <a:t>p41. "Hexadecimal uses sixteen different </a:t>
          </a:r>
          <a:r>
            <a:rPr lang="en-US" sz="1100" b="0" baseline="0">
              <a:solidFill>
                <a:srgbClr val="C00000"/>
              </a:solidFill>
            </a:rPr>
            <a:t>digits</a:t>
          </a:r>
          <a:r>
            <a:rPr lang="en-US" sz="1100" b="0" baseline="0">
              <a:solidFill>
                <a:sysClr val="windowText" lastClr="000000"/>
              </a:solidFill>
            </a:rPr>
            <a:t>."</a:t>
          </a:r>
          <a:endParaRPr lang="en-US" sz="1100" b="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32</xdr:col>
      <xdr:colOff>76200</xdr:colOff>
      <xdr:row>6</xdr:row>
      <xdr:rowOff>167640</xdr:rowOff>
    </xdr:from>
    <xdr:to>
      <xdr:col>36</xdr:col>
      <xdr:colOff>419100</xdr:colOff>
      <xdr:row>9</xdr:row>
      <xdr:rowOff>114300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A94C934-485B-4031-BD25-DB9F0B9D216C}"/>
            </a:ext>
          </a:extLst>
        </xdr:cNvPr>
        <xdr:cNvSpPr txBox="1"/>
      </xdr:nvSpPr>
      <xdr:spPr>
        <a:xfrm>
          <a:off x="11109960" y="1234440"/>
          <a:ext cx="3025140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baseline="0">
              <a:solidFill>
                <a:sysClr val="windowText" lastClr="000000"/>
              </a:solidFill>
            </a:rPr>
            <a:t>It would be clearer to say : </a:t>
          </a:r>
        </a:p>
        <a:p>
          <a:r>
            <a:rPr lang="en-US" sz="1100" b="0" baseline="0">
              <a:solidFill>
                <a:sysClr val="windowText" lastClr="000000"/>
              </a:solidFill>
            </a:rPr>
            <a:t>"Hexadecimal uses sixteen different symbols."</a:t>
          </a:r>
          <a:endParaRPr lang="en-US" sz="1100" b="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31</xdr:col>
      <xdr:colOff>53340</xdr:colOff>
      <xdr:row>6</xdr:row>
      <xdr:rowOff>114300</xdr:rowOff>
    </xdr:from>
    <xdr:to>
      <xdr:col>35</xdr:col>
      <xdr:colOff>167640</xdr:colOff>
      <xdr:row>16</xdr:row>
      <xdr:rowOff>121920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82374B0-19BA-4C8B-8B3C-80895CF2F81B}"/>
            </a:ext>
          </a:extLst>
        </xdr:cNvPr>
        <xdr:cNvCxnSpPr>
          <a:cxnSpLocks/>
        </xdr:cNvCxnSpPr>
      </xdr:nvCxnSpPr>
      <xdr:spPr>
        <a:xfrm flipV="1">
          <a:off x="10416540" y="1181100"/>
          <a:ext cx="2796540" cy="17602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</xdr:colOff>
      <xdr:row>0</xdr:row>
      <xdr:rowOff>91440</xdr:rowOff>
    </xdr:from>
    <xdr:to>
      <xdr:col>20</xdr:col>
      <xdr:colOff>53340</xdr:colOff>
      <xdr:row>2</xdr:row>
      <xdr:rowOff>7620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F9BC76C-226B-44E0-9ABD-FBF89EC1DE46}"/>
            </a:ext>
          </a:extLst>
        </xdr:cNvPr>
        <xdr:cNvSpPr txBox="1"/>
      </xdr:nvSpPr>
      <xdr:spPr>
        <a:xfrm>
          <a:off x="475488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5</xdr:col>
      <xdr:colOff>0</xdr:colOff>
      <xdr:row>0</xdr:row>
      <xdr:rowOff>99060</xdr:rowOff>
    </xdr:from>
    <xdr:to>
      <xdr:col>6</xdr:col>
      <xdr:colOff>121920</xdr:colOff>
      <xdr:row>2</xdr:row>
      <xdr:rowOff>15240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AC38905-5AA6-4BD7-8AB9-F724A6B232AE}"/>
            </a:ext>
          </a:extLst>
        </xdr:cNvPr>
        <xdr:cNvSpPr txBox="1"/>
      </xdr:nvSpPr>
      <xdr:spPr>
        <a:xfrm>
          <a:off x="1394460" y="9906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10</a:t>
          </a:r>
          <a:r>
            <a:rPr lang="en-US" sz="1200" baseline="300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3</xdr:col>
      <xdr:colOff>281940</xdr:colOff>
      <xdr:row>0</xdr:row>
      <xdr:rowOff>99060</xdr:rowOff>
    </xdr:from>
    <xdr:to>
      <xdr:col>5</xdr:col>
      <xdr:colOff>76200</xdr:colOff>
      <xdr:row>2</xdr:row>
      <xdr:rowOff>15240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1615D95-2CEE-4666-A792-8884227F1015}"/>
            </a:ext>
          </a:extLst>
        </xdr:cNvPr>
        <xdr:cNvSpPr txBox="1"/>
      </xdr:nvSpPr>
      <xdr:spPr>
        <a:xfrm>
          <a:off x="1036320" y="99060"/>
          <a:ext cx="43434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10</a:t>
          </a:r>
          <a:r>
            <a:rPr lang="en-US" sz="1200" baseline="30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2</xdr:col>
      <xdr:colOff>91440</xdr:colOff>
      <xdr:row>0</xdr:row>
      <xdr:rowOff>99060</xdr:rowOff>
    </xdr:from>
    <xdr:to>
      <xdr:col>4</xdr:col>
      <xdr:colOff>83820</xdr:colOff>
      <xdr:row>2</xdr:row>
      <xdr:rowOff>15240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0CC96F1-0C15-42DC-859A-CC40292BE728}"/>
            </a:ext>
          </a:extLst>
        </xdr:cNvPr>
        <xdr:cNvSpPr txBox="1"/>
      </xdr:nvSpPr>
      <xdr:spPr>
        <a:xfrm>
          <a:off x="731520" y="99060"/>
          <a:ext cx="4267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10</a:t>
          </a:r>
          <a:r>
            <a:rPr lang="en-US" sz="1200" baseline="30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18</xdr:col>
      <xdr:colOff>30480</xdr:colOff>
      <xdr:row>0</xdr:row>
      <xdr:rowOff>91440</xdr:rowOff>
    </xdr:from>
    <xdr:to>
      <xdr:col>19</xdr:col>
      <xdr:colOff>45720</xdr:colOff>
      <xdr:row>2</xdr:row>
      <xdr:rowOff>7620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2BDED32-5374-4EEA-A615-E63A508F55EE}"/>
            </a:ext>
          </a:extLst>
        </xdr:cNvPr>
        <xdr:cNvSpPr txBox="1"/>
      </xdr:nvSpPr>
      <xdr:spPr>
        <a:xfrm>
          <a:off x="442722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17</xdr:col>
      <xdr:colOff>38100</xdr:colOff>
      <xdr:row>0</xdr:row>
      <xdr:rowOff>91440</xdr:rowOff>
    </xdr:from>
    <xdr:to>
      <xdr:col>18</xdr:col>
      <xdr:colOff>53340</xdr:colOff>
      <xdr:row>2</xdr:row>
      <xdr:rowOff>7620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691FC17-6E67-44CF-A7AB-586B36F769E5}"/>
            </a:ext>
          </a:extLst>
        </xdr:cNvPr>
        <xdr:cNvSpPr txBox="1"/>
      </xdr:nvSpPr>
      <xdr:spPr>
        <a:xfrm>
          <a:off x="411480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16</xdr:col>
      <xdr:colOff>45720</xdr:colOff>
      <xdr:row>0</xdr:row>
      <xdr:rowOff>91440</xdr:rowOff>
    </xdr:from>
    <xdr:to>
      <xdr:col>17</xdr:col>
      <xdr:colOff>60960</xdr:colOff>
      <xdr:row>2</xdr:row>
      <xdr:rowOff>7620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89F4E0D-3B2D-4E6C-85F3-3FCCAAC0ED6A}"/>
            </a:ext>
          </a:extLst>
        </xdr:cNvPr>
        <xdr:cNvSpPr txBox="1"/>
      </xdr:nvSpPr>
      <xdr:spPr>
        <a:xfrm>
          <a:off x="380238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15</xdr:col>
      <xdr:colOff>38100</xdr:colOff>
      <xdr:row>0</xdr:row>
      <xdr:rowOff>99060</xdr:rowOff>
    </xdr:from>
    <xdr:to>
      <xdr:col>16</xdr:col>
      <xdr:colOff>53340</xdr:colOff>
      <xdr:row>2</xdr:row>
      <xdr:rowOff>15240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E74194D-5861-4559-A2E8-C699F84F9195}"/>
            </a:ext>
          </a:extLst>
        </xdr:cNvPr>
        <xdr:cNvSpPr txBox="1"/>
      </xdr:nvSpPr>
      <xdr:spPr>
        <a:xfrm>
          <a:off x="3474720" y="9906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14</xdr:col>
      <xdr:colOff>15240</xdr:colOff>
      <xdr:row>0</xdr:row>
      <xdr:rowOff>99060</xdr:rowOff>
    </xdr:from>
    <xdr:to>
      <xdr:col>15</xdr:col>
      <xdr:colOff>30480</xdr:colOff>
      <xdr:row>2</xdr:row>
      <xdr:rowOff>15240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C31B628-668D-445E-B67A-E298911C2F2C}"/>
            </a:ext>
          </a:extLst>
        </xdr:cNvPr>
        <xdr:cNvSpPr txBox="1"/>
      </xdr:nvSpPr>
      <xdr:spPr>
        <a:xfrm>
          <a:off x="3131820" y="9906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13</xdr:col>
      <xdr:colOff>22860</xdr:colOff>
      <xdr:row>0</xdr:row>
      <xdr:rowOff>99060</xdr:rowOff>
    </xdr:from>
    <xdr:to>
      <xdr:col>14</xdr:col>
      <xdr:colOff>38100</xdr:colOff>
      <xdr:row>2</xdr:row>
      <xdr:rowOff>15240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6C3673E-331B-4DF3-9416-BF9F55EA96C9}"/>
            </a:ext>
          </a:extLst>
        </xdr:cNvPr>
        <xdr:cNvSpPr txBox="1"/>
      </xdr:nvSpPr>
      <xdr:spPr>
        <a:xfrm>
          <a:off x="2819400" y="9906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21</xdr:col>
      <xdr:colOff>0</xdr:colOff>
      <xdr:row>0</xdr:row>
      <xdr:rowOff>83820</xdr:rowOff>
    </xdr:from>
    <xdr:to>
      <xdr:col>21</xdr:col>
      <xdr:colOff>0</xdr:colOff>
      <xdr:row>2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198517A-4E0E-4F8E-847D-14EA1DCE743D}"/>
            </a:ext>
          </a:extLst>
        </xdr:cNvPr>
        <xdr:cNvSpPr txBox="1"/>
      </xdr:nvSpPr>
      <xdr:spPr>
        <a:xfrm>
          <a:off x="6743700" y="8382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21</xdr:col>
      <xdr:colOff>0</xdr:colOff>
      <xdr:row>0</xdr:row>
      <xdr:rowOff>76200</xdr:rowOff>
    </xdr:from>
    <xdr:to>
      <xdr:col>21</xdr:col>
      <xdr:colOff>0</xdr:colOff>
      <xdr:row>1</xdr:row>
      <xdr:rowOff>167640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AA6AD41-01F9-40E4-92E8-68CA77F44492}"/>
            </a:ext>
          </a:extLst>
        </xdr:cNvPr>
        <xdr:cNvSpPr txBox="1"/>
      </xdr:nvSpPr>
      <xdr:spPr>
        <a:xfrm>
          <a:off x="6423660" y="7620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21</xdr:col>
      <xdr:colOff>0</xdr:colOff>
      <xdr:row>0</xdr:row>
      <xdr:rowOff>76200</xdr:rowOff>
    </xdr:from>
    <xdr:to>
      <xdr:col>21</xdr:col>
      <xdr:colOff>0</xdr:colOff>
      <xdr:row>1</xdr:row>
      <xdr:rowOff>167640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ECBC50F-2E50-4204-9AF5-A3A55B588D73}"/>
            </a:ext>
          </a:extLst>
        </xdr:cNvPr>
        <xdr:cNvSpPr txBox="1"/>
      </xdr:nvSpPr>
      <xdr:spPr>
        <a:xfrm>
          <a:off x="6096000" y="7620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25</xdr:col>
      <xdr:colOff>312420</xdr:colOff>
      <xdr:row>0</xdr:row>
      <xdr:rowOff>83820</xdr:rowOff>
    </xdr:from>
    <xdr:to>
      <xdr:col>27</xdr:col>
      <xdr:colOff>114300</xdr:colOff>
      <xdr:row>2</xdr:row>
      <xdr:rowOff>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00D8777-9C82-400B-86BB-4424CA716FB4}"/>
            </a:ext>
          </a:extLst>
        </xdr:cNvPr>
        <xdr:cNvSpPr txBox="1"/>
      </xdr:nvSpPr>
      <xdr:spPr>
        <a:xfrm>
          <a:off x="6743700" y="8382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24</xdr:col>
      <xdr:colOff>312420</xdr:colOff>
      <xdr:row>0</xdr:row>
      <xdr:rowOff>76200</xdr:rowOff>
    </xdr:from>
    <xdr:to>
      <xdr:col>26</xdr:col>
      <xdr:colOff>114300</xdr:colOff>
      <xdr:row>1</xdr:row>
      <xdr:rowOff>167640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9450DC4-DFB4-4019-9570-6212FFAB8927}"/>
            </a:ext>
          </a:extLst>
        </xdr:cNvPr>
        <xdr:cNvSpPr txBox="1"/>
      </xdr:nvSpPr>
      <xdr:spPr>
        <a:xfrm>
          <a:off x="6423660" y="7620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23</xdr:col>
      <xdr:colOff>312420</xdr:colOff>
      <xdr:row>0</xdr:row>
      <xdr:rowOff>76200</xdr:rowOff>
    </xdr:from>
    <xdr:to>
      <xdr:col>25</xdr:col>
      <xdr:colOff>106680</xdr:colOff>
      <xdr:row>1</xdr:row>
      <xdr:rowOff>167640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1932D11-C2B7-422D-B980-F70083604C7C}"/>
            </a:ext>
          </a:extLst>
        </xdr:cNvPr>
        <xdr:cNvSpPr txBox="1"/>
      </xdr:nvSpPr>
      <xdr:spPr>
        <a:xfrm>
          <a:off x="6309360" y="251460"/>
          <a:ext cx="43434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10</xdr:col>
      <xdr:colOff>22860</xdr:colOff>
      <xdr:row>0</xdr:row>
      <xdr:rowOff>99060</xdr:rowOff>
    </xdr:from>
    <xdr:to>
      <xdr:col>13</xdr:col>
      <xdr:colOff>30480</xdr:colOff>
      <xdr:row>2</xdr:row>
      <xdr:rowOff>15240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A886A5F-A6D2-45E0-B880-C413136D4B00}"/>
            </a:ext>
          </a:extLst>
        </xdr:cNvPr>
        <xdr:cNvSpPr txBox="1"/>
      </xdr:nvSpPr>
      <xdr:spPr>
        <a:xfrm>
          <a:off x="2819400" y="9906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12</xdr:col>
      <xdr:colOff>38100</xdr:colOff>
      <xdr:row>0</xdr:row>
      <xdr:rowOff>99060</xdr:rowOff>
    </xdr:from>
    <xdr:to>
      <xdr:col>14</xdr:col>
      <xdr:colOff>53340</xdr:colOff>
      <xdr:row>2</xdr:row>
      <xdr:rowOff>15240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96E6443-0E84-434D-98A3-F58D0F1EF1E0}"/>
            </a:ext>
          </a:extLst>
        </xdr:cNvPr>
        <xdr:cNvSpPr txBox="1"/>
      </xdr:nvSpPr>
      <xdr:spPr>
        <a:xfrm>
          <a:off x="3162300" y="99060"/>
          <a:ext cx="66294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38100</xdr:colOff>
      <xdr:row>0</xdr:row>
      <xdr:rowOff>91440</xdr:rowOff>
    </xdr:from>
    <xdr:to>
      <xdr:col>20</xdr:col>
      <xdr:colOff>53340</xdr:colOff>
      <xdr:row>2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9FA84-62EF-42A3-99C2-46C6A38040B4}"/>
            </a:ext>
          </a:extLst>
        </xdr:cNvPr>
        <xdr:cNvSpPr txBox="1"/>
      </xdr:nvSpPr>
      <xdr:spPr>
        <a:xfrm>
          <a:off x="547116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5</xdr:col>
      <xdr:colOff>0</xdr:colOff>
      <xdr:row>0</xdr:row>
      <xdr:rowOff>99060</xdr:rowOff>
    </xdr:from>
    <xdr:to>
      <xdr:col>6</xdr:col>
      <xdr:colOff>121920</xdr:colOff>
      <xdr:row>2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ACEF4E-E07F-4DEB-BE8E-973A94CB8106}"/>
            </a:ext>
          </a:extLst>
        </xdr:cNvPr>
        <xdr:cNvSpPr txBox="1"/>
      </xdr:nvSpPr>
      <xdr:spPr>
        <a:xfrm>
          <a:off x="1394460" y="9906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10</a:t>
          </a:r>
          <a:r>
            <a:rPr lang="en-US" sz="1200" baseline="300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3</xdr:col>
      <xdr:colOff>281940</xdr:colOff>
      <xdr:row>0</xdr:row>
      <xdr:rowOff>99060</xdr:rowOff>
    </xdr:from>
    <xdr:to>
      <xdr:col>5</xdr:col>
      <xdr:colOff>76200</xdr:colOff>
      <xdr:row>2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36065C4-BF12-427B-90C3-24359D90ACE9}"/>
            </a:ext>
          </a:extLst>
        </xdr:cNvPr>
        <xdr:cNvSpPr txBox="1"/>
      </xdr:nvSpPr>
      <xdr:spPr>
        <a:xfrm>
          <a:off x="1036320" y="99060"/>
          <a:ext cx="43434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10</a:t>
          </a:r>
          <a:r>
            <a:rPr lang="en-US" sz="1200" baseline="30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2</xdr:col>
      <xdr:colOff>91440</xdr:colOff>
      <xdr:row>0</xdr:row>
      <xdr:rowOff>99060</xdr:rowOff>
    </xdr:from>
    <xdr:to>
      <xdr:col>4</xdr:col>
      <xdr:colOff>83820</xdr:colOff>
      <xdr:row>2</xdr:row>
      <xdr:rowOff>15240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1038A6A-688E-471A-A206-98184E94D677}"/>
            </a:ext>
          </a:extLst>
        </xdr:cNvPr>
        <xdr:cNvSpPr txBox="1"/>
      </xdr:nvSpPr>
      <xdr:spPr>
        <a:xfrm>
          <a:off x="731520" y="99060"/>
          <a:ext cx="4267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10</a:t>
          </a:r>
          <a:r>
            <a:rPr lang="en-US" sz="1200" baseline="30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18</xdr:col>
      <xdr:colOff>30480</xdr:colOff>
      <xdr:row>0</xdr:row>
      <xdr:rowOff>91440</xdr:rowOff>
    </xdr:from>
    <xdr:to>
      <xdr:col>19</xdr:col>
      <xdr:colOff>45720</xdr:colOff>
      <xdr:row>2</xdr:row>
      <xdr:rowOff>7620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139CE01-18FA-435A-AFBA-AA24A0009E28}"/>
            </a:ext>
          </a:extLst>
        </xdr:cNvPr>
        <xdr:cNvSpPr txBox="1"/>
      </xdr:nvSpPr>
      <xdr:spPr>
        <a:xfrm>
          <a:off x="514350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17</xdr:col>
      <xdr:colOff>38100</xdr:colOff>
      <xdr:row>0</xdr:row>
      <xdr:rowOff>91440</xdr:rowOff>
    </xdr:from>
    <xdr:to>
      <xdr:col>18</xdr:col>
      <xdr:colOff>53340</xdr:colOff>
      <xdr:row>2</xdr:row>
      <xdr:rowOff>7620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0CE32D-C533-4315-86F1-EC970E155D59}"/>
            </a:ext>
          </a:extLst>
        </xdr:cNvPr>
        <xdr:cNvSpPr txBox="1"/>
      </xdr:nvSpPr>
      <xdr:spPr>
        <a:xfrm>
          <a:off x="483108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16</xdr:col>
      <xdr:colOff>45720</xdr:colOff>
      <xdr:row>0</xdr:row>
      <xdr:rowOff>91440</xdr:rowOff>
    </xdr:from>
    <xdr:to>
      <xdr:col>17</xdr:col>
      <xdr:colOff>60960</xdr:colOff>
      <xdr:row>2</xdr:row>
      <xdr:rowOff>7620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FE566B8-2A22-40E4-8582-F3A09543C297}"/>
            </a:ext>
          </a:extLst>
        </xdr:cNvPr>
        <xdr:cNvSpPr txBox="1"/>
      </xdr:nvSpPr>
      <xdr:spPr>
        <a:xfrm>
          <a:off x="4518660" y="9144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15</xdr:col>
      <xdr:colOff>38100</xdr:colOff>
      <xdr:row>0</xdr:row>
      <xdr:rowOff>99060</xdr:rowOff>
    </xdr:from>
    <xdr:to>
      <xdr:col>16</xdr:col>
      <xdr:colOff>53340</xdr:colOff>
      <xdr:row>2</xdr:row>
      <xdr:rowOff>15240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26A108-FB78-427C-A122-6893BBFF9990}"/>
            </a:ext>
          </a:extLst>
        </xdr:cNvPr>
        <xdr:cNvSpPr txBox="1"/>
      </xdr:nvSpPr>
      <xdr:spPr>
        <a:xfrm>
          <a:off x="4191000" y="9906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14</xdr:col>
      <xdr:colOff>15240</xdr:colOff>
      <xdr:row>0</xdr:row>
      <xdr:rowOff>99060</xdr:rowOff>
    </xdr:from>
    <xdr:to>
      <xdr:col>15</xdr:col>
      <xdr:colOff>30480</xdr:colOff>
      <xdr:row>2</xdr:row>
      <xdr:rowOff>15240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6DB5EBD-DCD6-43BD-9DB8-523750270CB2}"/>
            </a:ext>
          </a:extLst>
        </xdr:cNvPr>
        <xdr:cNvSpPr txBox="1"/>
      </xdr:nvSpPr>
      <xdr:spPr>
        <a:xfrm>
          <a:off x="3848100" y="9906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13</xdr:col>
      <xdr:colOff>22860</xdr:colOff>
      <xdr:row>0</xdr:row>
      <xdr:rowOff>99060</xdr:rowOff>
    </xdr:from>
    <xdr:to>
      <xdr:col>14</xdr:col>
      <xdr:colOff>38100</xdr:colOff>
      <xdr:row>2</xdr:row>
      <xdr:rowOff>15240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3080B0B-B567-45CE-A468-F52EA2A1CFD1}"/>
            </a:ext>
          </a:extLst>
        </xdr:cNvPr>
        <xdr:cNvSpPr txBox="1"/>
      </xdr:nvSpPr>
      <xdr:spPr>
        <a:xfrm>
          <a:off x="3535680" y="99060"/>
          <a:ext cx="33528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6</a:t>
          </a:r>
        </a:p>
      </xdr:txBody>
    </xdr:sp>
    <xdr:clientData/>
  </xdr:twoCellAnchor>
  <xdr:twoCellAnchor>
    <xdr:from>
      <xdr:col>21</xdr:col>
      <xdr:colOff>0</xdr:colOff>
      <xdr:row>0</xdr:row>
      <xdr:rowOff>83820</xdr:rowOff>
    </xdr:from>
    <xdr:to>
      <xdr:col>21</xdr:col>
      <xdr:colOff>0</xdr:colOff>
      <xdr:row>2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C88676D-E2B9-44C6-A0B2-CEA1AF682488}"/>
            </a:ext>
          </a:extLst>
        </xdr:cNvPr>
        <xdr:cNvSpPr txBox="1"/>
      </xdr:nvSpPr>
      <xdr:spPr>
        <a:xfrm>
          <a:off x="6073140" y="83820"/>
          <a:ext cx="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21</xdr:col>
      <xdr:colOff>0</xdr:colOff>
      <xdr:row>0</xdr:row>
      <xdr:rowOff>76200</xdr:rowOff>
    </xdr:from>
    <xdr:to>
      <xdr:col>21</xdr:col>
      <xdr:colOff>0</xdr:colOff>
      <xdr:row>1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740D85F-A421-4325-9525-71B9DDB0C191}"/>
            </a:ext>
          </a:extLst>
        </xdr:cNvPr>
        <xdr:cNvSpPr txBox="1"/>
      </xdr:nvSpPr>
      <xdr:spPr>
        <a:xfrm>
          <a:off x="6073140" y="76200"/>
          <a:ext cx="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21</xdr:col>
      <xdr:colOff>0</xdr:colOff>
      <xdr:row>0</xdr:row>
      <xdr:rowOff>76200</xdr:rowOff>
    </xdr:from>
    <xdr:to>
      <xdr:col>21</xdr:col>
      <xdr:colOff>0</xdr:colOff>
      <xdr:row>1</xdr:row>
      <xdr:rowOff>167640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AFD7AC0-43FE-4B71-BFD2-D982B1CC7DFA}"/>
            </a:ext>
          </a:extLst>
        </xdr:cNvPr>
        <xdr:cNvSpPr txBox="1"/>
      </xdr:nvSpPr>
      <xdr:spPr>
        <a:xfrm>
          <a:off x="6073140" y="76200"/>
          <a:ext cx="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25</xdr:col>
      <xdr:colOff>312420</xdr:colOff>
      <xdr:row>0</xdr:row>
      <xdr:rowOff>83820</xdr:rowOff>
    </xdr:from>
    <xdr:to>
      <xdr:col>27</xdr:col>
      <xdr:colOff>114300</xdr:colOff>
      <xdr:row>2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FF11769-6A37-47D0-8775-3156591B3754}"/>
            </a:ext>
          </a:extLst>
        </xdr:cNvPr>
        <xdr:cNvSpPr txBox="1"/>
      </xdr:nvSpPr>
      <xdr:spPr>
        <a:xfrm>
          <a:off x="7513320" y="8382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0</a:t>
          </a:r>
        </a:p>
      </xdr:txBody>
    </xdr:sp>
    <xdr:clientData/>
  </xdr:twoCellAnchor>
  <xdr:twoCellAnchor>
    <xdr:from>
      <xdr:col>24</xdr:col>
      <xdr:colOff>312420</xdr:colOff>
      <xdr:row>0</xdr:row>
      <xdr:rowOff>76200</xdr:rowOff>
    </xdr:from>
    <xdr:to>
      <xdr:col>26</xdr:col>
      <xdr:colOff>114300</xdr:colOff>
      <xdr:row>1</xdr:row>
      <xdr:rowOff>167640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B005149-4422-4CD4-88A0-F3341398A912}"/>
            </a:ext>
          </a:extLst>
        </xdr:cNvPr>
        <xdr:cNvSpPr txBox="1"/>
      </xdr:nvSpPr>
      <xdr:spPr>
        <a:xfrm>
          <a:off x="7193280" y="76200"/>
          <a:ext cx="4419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23</xdr:col>
      <xdr:colOff>312420</xdr:colOff>
      <xdr:row>0</xdr:row>
      <xdr:rowOff>76200</xdr:rowOff>
    </xdr:from>
    <xdr:to>
      <xdr:col>25</xdr:col>
      <xdr:colOff>106680</xdr:colOff>
      <xdr:row>1</xdr:row>
      <xdr:rowOff>167640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87C56E5-B328-4823-8C2A-EA84CEB80C7C}"/>
            </a:ext>
          </a:extLst>
        </xdr:cNvPr>
        <xdr:cNvSpPr txBox="1"/>
      </xdr:nvSpPr>
      <xdr:spPr>
        <a:xfrm>
          <a:off x="6880860" y="76200"/>
          <a:ext cx="4267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16</a:t>
          </a:r>
          <a:r>
            <a:rPr lang="en-US" sz="1200" baseline="300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10</xdr:col>
      <xdr:colOff>22860</xdr:colOff>
      <xdr:row>0</xdr:row>
      <xdr:rowOff>99060</xdr:rowOff>
    </xdr:from>
    <xdr:to>
      <xdr:col>13</xdr:col>
      <xdr:colOff>30480</xdr:colOff>
      <xdr:row>2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B620359-FF25-4C4E-9D81-EFB3177DE0C5}"/>
            </a:ext>
          </a:extLst>
        </xdr:cNvPr>
        <xdr:cNvSpPr txBox="1"/>
      </xdr:nvSpPr>
      <xdr:spPr>
        <a:xfrm>
          <a:off x="2819400" y="99060"/>
          <a:ext cx="7239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8</a:t>
          </a:r>
        </a:p>
      </xdr:txBody>
    </xdr:sp>
    <xdr:clientData/>
  </xdr:twoCellAnchor>
  <xdr:twoCellAnchor>
    <xdr:from>
      <xdr:col>12</xdr:col>
      <xdr:colOff>38100</xdr:colOff>
      <xdr:row>0</xdr:row>
      <xdr:rowOff>99060</xdr:rowOff>
    </xdr:from>
    <xdr:to>
      <xdr:col>14</xdr:col>
      <xdr:colOff>53340</xdr:colOff>
      <xdr:row>2</xdr:row>
      <xdr:rowOff>15240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B2B3E75-50B4-4675-A89E-EFAC490CB911}"/>
            </a:ext>
          </a:extLst>
        </xdr:cNvPr>
        <xdr:cNvSpPr txBox="1"/>
      </xdr:nvSpPr>
      <xdr:spPr>
        <a:xfrm>
          <a:off x="3223260" y="99060"/>
          <a:ext cx="66294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solidFill>
                <a:sysClr val="windowText" lastClr="000000"/>
              </a:solidFill>
            </a:rPr>
            <a:t>2</a:t>
          </a:r>
          <a:r>
            <a:rPr lang="en-US" sz="1200" baseline="30000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>
    <xdr:from>
      <xdr:col>12</xdr:col>
      <xdr:colOff>155666</xdr:colOff>
      <xdr:row>32</xdr:row>
      <xdr:rowOff>114300</xdr:rowOff>
    </xdr:from>
    <xdr:to>
      <xdr:col>13</xdr:col>
      <xdr:colOff>109946</xdr:colOff>
      <xdr:row>42</xdr:row>
      <xdr:rowOff>7620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8F63B850-DB54-4905-9449-9FF23DA0DB33}"/>
            </a:ext>
          </a:extLst>
        </xdr:cNvPr>
        <xdr:cNvCxnSpPr/>
      </xdr:nvCxnSpPr>
      <xdr:spPr>
        <a:xfrm flipH="1">
          <a:off x="3340826" y="5128260"/>
          <a:ext cx="281940" cy="150876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151312</xdr:colOff>
      <xdr:row>32</xdr:row>
      <xdr:rowOff>114300</xdr:rowOff>
    </xdr:from>
    <xdr:to>
      <xdr:col>14</xdr:col>
      <xdr:colOff>113212</xdr:colOff>
      <xdr:row>42</xdr:row>
      <xdr:rowOff>7620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98D7629-7BC6-4DC5-A7C7-48CED883CA7A}"/>
            </a:ext>
          </a:extLst>
        </xdr:cNvPr>
        <xdr:cNvCxnSpPr/>
      </xdr:nvCxnSpPr>
      <xdr:spPr>
        <a:xfrm flipH="1">
          <a:off x="3664132" y="5128260"/>
          <a:ext cx="281940" cy="150876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154578</xdr:colOff>
      <xdr:row>32</xdr:row>
      <xdr:rowOff>114300</xdr:rowOff>
    </xdr:from>
    <xdr:to>
      <xdr:col>15</xdr:col>
      <xdr:colOff>116478</xdr:colOff>
      <xdr:row>42</xdr:row>
      <xdr:rowOff>7620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EB45234-08E4-478B-B56D-F16B88686563}"/>
            </a:ext>
          </a:extLst>
        </xdr:cNvPr>
        <xdr:cNvCxnSpPr/>
      </xdr:nvCxnSpPr>
      <xdr:spPr>
        <a:xfrm flipH="1">
          <a:off x="3987438" y="5128260"/>
          <a:ext cx="281940" cy="150876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157844</xdr:colOff>
      <xdr:row>32</xdr:row>
      <xdr:rowOff>114300</xdr:rowOff>
    </xdr:from>
    <xdr:to>
      <xdr:col>16</xdr:col>
      <xdr:colOff>119744</xdr:colOff>
      <xdr:row>42</xdr:row>
      <xdr:rowOff>7620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F368E36-4039-4967-ADA6-3F4F2FE45D7F}"/>
            </a:ext>
          </a:extLst>
        </xdr:cNvPr>
        <xdr:cNvCxnSpPr/>
      </xdr:nvCxnSpPr>
      <xdr:spPr>
        <a:xfrm flipH="1">
          <a:off x="4310744" y="5128260"/>
          <a:ext cx="281940" cy="150876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161110</xdr:colOff>
      <xdr:row>32</xdr:row>
      <xdr:rowOff>114300</xdr:rowOff>
    </xdr:from>
    <xdr:to>
      <xdr:col>17</xdr:col>
      <xdr:colOff>123010</xdr:colOff>
      <xdr:row>42</xdr:row>
      <xdr:rowOff>7620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380B54C4-48B8-4FB4-B86C-1179F66262E9}"/>
            </a:ext>
          </a:extLst>
        </xdr:cNvPr>
        <xdr:cNvCxnSpPr/>
      </xdr:nvCxnSpPr>
      <xdr:spPr>
        <a:xfrm flipH="1">
          <a:off x="4634050" y="5128260"/>
          <a:ext cx="281940" cy="150876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164376</xdr:colOff>
      <xdr:row>32</xdr:row>
      <xdr:rowOff>114300</xdr:rowOff>
    </xdr:from>
    <xdr:to>
      <xdr:col>18</xdr:col>
      <xdr:colOff>126276</xdr:colOff>
      <xdr:row>42</xdr:row>
      <xdr:rowOff>7620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5C7F7396-60B2-4A76-91BC-ED14A3BEBCD8}"/>
            </a:ext>
          </a:extLst>
        </xdr:cNvPr>
        <xdr:cNvCxnSpPr/>
      </xdr:nvCxnSpPr>
      <xdr:spPr>
        <a:xfrm flipH="1">
          <a:off x="4957356" y="5128260"/>
          <a:ext cx="281940" cy="150876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167640</xdr:colOff>
      <xdr:row>32</xdr:row>
      <xdr:rowOff>114300</xdr:rowOff>
    </xdr:from>
    <xdr:to>
      <xdr:col>19</xdr:col>
      <xdr:colOff>129540</xdr:colOff>
      <xdr:row>42</xdr:row>
      <xdr:rowOff>7620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C105C6CF-101F-4058-83E8-5522D58B431A}"/>
            </a:ext>
          </a:extLst>
        </xdr:cNvPr>
        <xdr:cNvCxnSpPr/>
      </xdr:nvCxnSpPr>
      <xdr:spPr>
        <a:xfrm flipH="1">
          <a:off x="5280660" y="5128260"/>
          <a:ext cx="281940" cy="1508760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220980</xdr:colOff>
      <xdr:row>32</xdr:row>
      <xdr:rowOff>114300</xdr:rowOff>
    </xdr:from>
    <xdr:to>
      <xdr:col>12</xdr:col>
      <xdr:colOff>114300</xdr:colOff>
      <xdr:row>42</xdr:row>
      <xdr:rowOff>7620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59E8E0E1-5C88-4F57-B76B-E55961FE75C8}"/>
            </a:ext>
          </a:extLst>
        </xdr:cNvPr>
        <xdr:cNvCxnSpPr/>
      </xdr:nvCxnSpPr>
      <xdr:spPr>
        <a:xfrm flipH="1">
          <a:off x="3017520" y="5128260"/>
          <a:ext cx="281940" cy="1508760"/>
        </a:xfrm>
        <a:prstGeom prst="straightConnector1">
          <a:avLst/>
        </a:prstGeom>
        <a:ln w="9525">
          <a:solidFill>
            <a:srgbClr val="C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205740</xdr:colOff>
      <xdr:row>42</xdr:row>
      <xdr:rowOff>129540</xdr:rowOff>
    </xdr:from>
    <xdr:to>
      <xdr:col>13</xdr:col>
      <xdr:colOff>91440</xdr:colOff>
      <xdr:row>44</xdr:row>
      <xdr:rowOff>30480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EE74C2D-7931-4E00-B8D0-033ABDE36AA1}"/>
            </a:ext>
          </a:extLst>
        </xdr:cNvPr>
        <xdr:cNvSpPr txBox="1"/>
      </xdr:nvSpPr>
      <xdr:spPr>
        <a:xfrm>
          <a:off x="3390900" y="6758940"/>
          <a:ext cx="2133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+</a:t>
          </a:r>
        </a:p>
      </xdr:txBody>
    </xdr:sp>
    <xdr:clientData/>
  </xdr:twoCellAnchor>
  <xdr:twoCellAnchor>
    <xdr:from>
      <xdr:col>13</xdr:col>
      <xdr:colOff>213360</xdr:colOff>
      <xdr:row>42</xdr:row>
      <xdr:rowOff>129540</xdr:rowOff>
    </xdr:from>
    <xdr:to>
      <xdr:col>14</xdr:col>
      <xdr:colOff>106680</xdr:colOff>
      <xdr:row>44</xdr:row>
      <xdr:rowOff>30480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E4E5DF9-5C1C-4661-92D8-086AE7E4F3C2}"/>
            </a:ext>
          </a:extLst>
        </xdr:cNvPr>
        <xdr:cNvSpPr txBox="1"/>
      </xdr:nvSpPr>
      <xdr:spPr>
        <a:xfrm>
          <a:off x="3726180" y="6758940"/>
          <a:ext cx="2133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+</a:t>
          </a:r>
        </a:p>
      </xdr:txBody>
    </xdr:sp>
    <xdr:clientData/>
  </xdr:twoCellAnchor>
  <xdr:twoCellAnchor>
    <xdr:from>
      <xdr:col>14</xdr:col>
      <xdr:colOff>198120</xdr:colOff>
      <xdr:row>42</xdr:row>
      <xdr:rowOff>137160</xdr:rowOff>
    </xdr:from>
    <xdr:to>
      <xdr:col>15</xdr:col>
      <xdr:colOff>91440</xdr:colOff>
      <xdr:row>44</xdr:row>
      <xdr:rowOff>38100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2B5011D-50DB-40F4-91A5-404FB6B9862E}"/>
            </a:ext>
          </a:extLst>
        </xdr:cNvPr>
        <xdr:cNvSpPr txBox="1"/>
      </xdr:nvSpPr>
      <xdr:spPr>
        <a:xfrm>
          <a:off x="4030980" y="6766560"/>
          <a:ext cx="2133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+</a:t>
          </a:r>
        </a:p>
      </xdr:txBody>
    </xdr:sp>
    <xdr:clientData/>
  </xdr:twoCellAnchor>
  <xdr:twoCellAnchor>
    <xdr:from>
      <xdr:col>16</xdr:col>
      <xdr:colOff>205740</xdr:colOff>
      <xdr:row>42</xdr:row>
      <xdr:rowOff>121920</xdr:rowOff>
    </xdr:from>
    <xdr:to>
      <xdr:col>17</xdr:col>
      <xdr:colOff>99060</xdr:colOff>
      <xdr:row>44</xdr:row>
      <xdr:rowOff>22860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0A54A96-2A3C-4541-9B82-D1D0E2807AB7}"/>
            </a:ext>
          </a:extLst>
        </xdr:cNvPr>
        <xdr:cNvSpPr txBox="1"/>
      </xdr:nvSpPr>
      <xdr:spPr>
        <a:xfrm>
          <a:off x="4678680" y="6751320"/>
          <a:ext cx="2133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+</a:t>
          </a:r>
        </a:p>
      </xdr:txBody>
    </xdr:sp>
    <xdr:clientData/>
  </xdr:twoCellAnchor>
  <xdr:twoCellAnchor>
    <xdr:from>
      <xdr:col>19</xdr:col>
      <xdr:colOff>167640</xdr:colOff>
      <xdr:row>42</xdr:row>
      <xdr:rowOff>129540</xdr:rowOff>
    </xdr:from>
    <xdr:to>
      <xdr:col>20</xdr:col>
      <xdr:colOff>60960</xdr:colOff>
      <xdr:row>44</xdr:row>
      <xdr:rowOff>30480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8202A4B-B69D-45D3-8356-F74A11759F08}"/>
            </a:ext>
          </a:extLst>
        </xdr:cNvPr>
        <xdr:cNvSpPr txBox="1"/>
      </xdr:nvSpPr>
      <xdr:spPr>
        <a:xfrm>
          <a:off x="5600700" y="6758940"/>
          <a:ext cx="21336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=</a:t>
          </a:r>
        </a:p>
      </xdr:txBody>
    </xdr:sp>
    <xdr:clientData/>
  </xdr:twoCellAnchor>
  <xdr:twoCellAnchor editAs="oneCell">
    <xdr:from>
      <xdr:col>10</xdr:col>
      <xdr:colOff>137160</xdr:colOff>
      <xdr:row>41</xdr:row>
      <xdr:rowOff>159124</xdr:rowOff>
    </xdr:from>
    <xdr:to>
      <xdr:col>12</xdr:col>
      <xdr:colOff>0</xdr:colOff>
      <xdr:row>43</xdr:row>
      <xdr:rowOff>30480</xdr:rowOff>
    </xdr:to>
    <xdr:pic>
      <xdr:nvPicPr>
        <xdr:cNvPr id="33" name="Picture 32" descr="Free Garbage Bin SVG, PNG Icon, Symbol. Download Image.">
          <a:extLst>
            <a:ext uri="{FF2B5EF4-FFF2-40B4-BE49-F238E27FC236}">
              <a16:creationId xmlns:a16="http://schemas.microsoft.com/office/drawing/2014/main" id="{F6004075-D172-4CB5-956E-73447F6C17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765"/>
        <a:stretch/>
      </xdr:blipFill>
      <xdr:spPr bwMode="auto">
        <a:xfrm>
          <a:off x="2933700" y="6613264"/>
          <a:ext cx="251460" cy="221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327A-EAB5-47FA-BE4A-F74D05485690}">
  <dimension ref="B3:AD38"/>
  <sheetViews>
    <sheetView showGridLines="0" workbookViewId="0">
      <selection activeCell="T2" sqref="T2:X38"/>
    </sheetView>
  </sheetViews>
  <sheetFormatPr defaultRowHeight="13.8"/>
  <cols>
    <col min="1" max="2" width="4.19921875" style="1" customWidth="1"/>
    <col min="3" max="3" width="1.5" style="1" customWidth="1"/>
    <col min="4" max="9" width="4.19921875" style="1" customWidth="1"/>
    <col min="10" max="10" width="1.59765625" style="1" customWidth="1"/>
    <col min="11" max="20" width="4.19921875" style="1" customWidth="1"/>
    <col min="21" max="21" width="1.5" style="1" customWidth="1"/>
    <col min="22" max="26" width="4.19921875" style="1" customWidth="1"/>
    <col min="27" max="28" width="4.19921875" customWidth="1"/>
    <col min="29" max="16384" width="8.796875" style="1"/>
  </cols>
  <sheetData>
    <row r="3" spans="2:30" ht="14.4" thickBot="1">
      <c r="D3" s="7">
        <v>100</v>
      </c>
      <c r="E3" s="7">
        <v>10</v>
      </c>
      <c r="F3" s="7">
        <v>1</v>
      </c>
      <c r="K3" s="7">
        <v>64</v>
      </c>
      <c r="L3" s="7">
        <v>32</v>
      </c>
      <c r="M3" s="25">
        <v>16</v>
      </c>
      <c r="N3" s="10">
        <v>8</v>
      </c>
      <c r="O3" s="10">
        <v>4</v>
      </c>
      <c r="P3" s="10">
        <v>2</v>
      </c>
      <c r="Q3" s="10">
        <v>1</v>
      </c>
      <c r="V3" s="7">
        <v>256</v>
      </c>
      <c r="W3" s="25">
        <v>16</v>
      </c>
      <c r="X3" s="10">
        <v>1</v>
      </c>
      <c r="AA3" s="1"/>
      <c r="AB3" s="1"/>
    </row>
    <row r="4" spans="2:30" ht="14.4" thickTop="1">
      <c r="B4" s="2">
        <v>0</v>
      </c>
      <c r="D4" s="2">
        <v>0</v>
      </c>
      <c r="E4" s="2">
        <v>0</v>
      </c>
      <c r="F4" s="2">
        <v>0</v>
      </c>
      <c r="G4" s="5"/>
      <c r="H4" s="5"/>
      <c r="I4" s="3">
        <v>0</v>
      </c>
      <c r="K4" s="3">
        <v>0</v>
      </c>
      <c r="L4" s="3">
        <v>0</v>
      </c>
      <c r="M4" s="9">
        <v>0</v>
      </c>
      <c r="N4" s="12">
        <v>0</v>
      </c>
      <c r="O4" s="13">
        <v>0</v>
      </c>
      <c r="P4" s="13">
        <v>0</v>
      </c>
      <c r="Q4" s="14">
        <v>0</v>
      </c>
      <c r="R4" s="6"/>
      <c r="S4" s="6"/>
      <c r="T4" s="4">
        <v>0</v>
      </c>
      <c r="V4" s="4">
        <v>0</v>
      </c>
      <c r="W4" s="20">
        <v>0</v>
      </c>
      <c r="X4" s="22">
        <v>0</v>
      </c>
      <c r="Z4" s="8" t="s">
        <v>6</v>
      </c>
      <c r="AA4" s="1"/>
      <c r="AB4" s="1"/>
    </row>
    <row r="5" spans="2:30">
      <c r="B5" s="2">
        <v>1</v>
      </c>
      <c r="D5" s="2">
        <v>0</v>
      </c>
      <c r="E5" s="2">
        <v>0</v>
      </c>
      <c r="F5" s="2">
        <v>1</v>
      </c>
      <c r="G5" s="5"/>
      <c r="H5" s="5"/>
      <c r="I5" s="3">
        <f>I4+1</f>
        <v>1</v>
      </c>
      <c r="K5" s="3">
        <v>0</v>
      </c>
      <c r="L5" s="3">
        <v>0</v>
      </c>
      <c r="M5" s="9">
        <v>0</v>
      </c>
      <c r="N5" s="15">
        <v>0</v>
      </c>
      <c r="O5" s="3">
        <v>0</v>
      </c>
      <c r="P5" s="3">
        <v>0</v>
      </c>
      <c r="Q5" s="16">
        <f>Q4+1</f>
        <v>1</v>
      </c>
      <c r="R5" s="6"/>
      <c r="S5" s="6"/>
      <c r="T5" s="4">
        <v>1</v>
      </c>
      <c r="V5" s="4">
        <v>0</v>
      </c>
      <c r="W5" s="20">
        <v>0</v>
      </c>
      <c r="X5" s="23">
        <v>1</v>
      </c>
      <c r="AA5" s="1"/>
      <c r="AB5" s="1"/>
    </row>
    <row r="6" spans="2:30">
      <c r="B6" s="2">
        <v>2</v>
      </c>
      <c r="D6" s="2">
        <v>0</v>
      </c>
      <c r="E6" s="2">
        <v>0</v>
      </c>
      <c r="F6" s="2">
        <v>2</v>
      </c>
      <c r="G6" s="5"/>
      <c r="H6" s="5"/>
      <c r="I6" s="5"/>
      <c r="K6" s="3">
        <v>0</v>
      </c>
      <c r="L6" s="3">
        <v>0</v>
      </c>
      <c r="M6" s="9">
        <v>0</v>
      </c>
      <c r="N6" s="15">
        <v>0</v>
      </c>
      <c r="O6" s="3">
        <v>0</v>
      </c>
      <c r="P6" s="3">
        <v>1</v>
      </c>
      <c r="Q6" s="16">
        <v>0</v>
      </c>
      <c r="R6" s="6"/>
      <c r="S6" s="6"/>
      <c r="T6" s="4">
        <v>2</v>
      </c>
      <c r="V6" s="4">
        <v>0</v>
      </c>
      <c r="W6" s="20">
        <v>0</v>
      </c>
      <c r="X6" s="23">
        <v>2</v>
      </c>
      <c r="AA6" s="1"/>
      <c r="AB6" s="1"/>
    </row>
    <row r="7" spans="2:30">
      <c r="B7" s="2">
        <v>3</v>
      </c>
      <c r="D7" s="2">
        <v>0</v>
      </c>
      <c r="E7" s="2">
        <v>0</v>
      </c>
      <c r="F7" s="2">
        <v>3</v>
      </c>
      <c r="G7" s="5"/>
      <c r="H7" s="5"/>
      <c r="I7" s="5"/>
      <c r="K7" s="3">
        <v>0</v>
      </c>
      <c r="L7" s="3">
        <v>0</v>
      </c>
      <c r="M7" s="9">
        <v>0</v>
      </c>
      <c r="N7" s="15">
        <v>0</v>
      </c>
      <c r="O7" s="3">
        <v>0</v>
      </c>
      <c r="P7" s="3">
        <v>1</v>
      </c>
      <c r="Q7" s="16">
        <f t="shared" ref="Q7" si="0">Q6+1</f>
        <v>1</v>
      </c>
      <c r="R7" s="6"/>
      <c r="S7" s="6"/>
      <c r="T7" s="4">
        <v>3</v>
      </c>
      <c r="V7" s="4">
        <v>0</v>
      </c>
      <c r="W7" s="20">
        <v>0</v>
      </c>
      <c r="X7" s="23">
        <v>3</v>
      </c>
      <c r="AA7" s="1"/>
      <c r="AB7" s="1"/>
    </row>
    <row r="8" spans="2:30">
      <c r="B8" s="2">
        <v>4</v>
      </c>
      <c r="D8" s="2">
        <v>0</v>
      </c>
      <c r="E8" s="2">
        <v>0</v>
      </c>
      <c r="F8" s="2">
        <v>4</v>
      </c>
      <c r="G8" s="5"/>
      <c r="H8" s="5"/>
      <c r="I8" s="5"/>
      <c r="K8" s="3">
        <v>0</v>
      </c>
      <c r="L8" s="3">
        <v>0</v>
      </c>
      <c r="M8" s="9">
        <v>0</v>
      </c>
      <c r="N8" s="15">
        <v>0</v>
      </c>
      <c r="O8" s="3">
        <v>1</v>
      </c>
      <c r="P8" s="3">
        <v>0</v>
      </c>
      <c r="Q8" s="16">
        <v>0</v>
      </c>
      <c r="R8" s="6"/>
      <c r="S8" s="6"/>
      <c r="T8" s="4">
        <v>4</v>
      </c>
      <c r="V8" s="4">
        <v>0</v>
      </c>
      <c r="W8" s="20">
        <v>0</v>
      </c>
      <c r="X8" s="23">
        <v>4</v>
      </c>
      <c r="AA8" s="1"/>
      <c r="AB8" s="1"/>
    </row>
    <row r="9" spans="2:30">
      <c r="B9" s="2">
        <v>5</v>
      </c>
      <c r="D9" s="2">
        <v>0</v>
      </c>
      <c r="E9" s="2">
        <v>0</v>
      </c>
      <c r="F9" s="2">
        <v>5</v>
      </c>
      <c r="G9" s="5"/>
      <c r="H9" s="5"/>
      <c r="I9" s="5"/>
      <c r="K9" s="3">
        <v>0</v>
      </c>
      <c r="L9" s="3">
        <v>0</v>
      </c>
      <c r="M9" s="9">
        <v>0</v>
      </c>
      <c r="N9" s="15">
        <v>0</v>
      </c>
      <c r="O9" s="3">
        <v>1</v>
      </c>
      <c r="P9" s="3">
        <v>0</v>
      </c>
      <c r="Q9" s="16">
        <f t="shared" ref="Q9" si="1">Q8+1</f>
        <v>1</v>
      </c>
      <c r="R9" s="6"/>
      <c r="S9" s="6"/>
      <c r="T9" s="4">
        <v>5</v>
      </c>
      <c r="V9" s="4">
        <v>0</v>
      </c>
      <c r="W9" s="20">
        <v>0</v>
      </c>
      <c r="X9" s="23">
        <v>5</v>
      </c>
      <c r="AA9" s="1"/>
      <c r="AB9" s="1"/>
    </row>
    <row r="10" spans="2:30">
      <c r="B10" s="2">
        <v>6</v>
      </c>
      <c r="D10" s="2">
        <v>0</v>
      </c>
      <c r="E10" s="2">
        <v>0</v>
      </c>
      <c r="F10" s="2">
        <v>6</v>
      </c>
      <c r="G10" s="5"/>
      <c r="H10" s="5"/>
      <c r="I10" s="5"/>
      <c r="K10" s="3">
        <v>0</v>
      </c>
      <c r="L10" s="3">
        <v>0</v>
      </c>
      <c r="M10" s="9">
        <v>0</v>
      </c>
      <c r="N10" s="15">
        <v>0</v>
      </c>
      <c r="O10" s="3">
        <v>1</v>
      </c>
      <c r="P10" s="3">
        <v>1</v>
      </c>
      <c r="Q10" s="16">
        <v>0</v>
      </c>
      <c r="R10" s="6"/>
      <c r="S10" s="6"/>
      <c r="T10" s="4">
        <v>6</v>
      </c>
      <c r="V10" s="4">
        <v>0</v>
      </c>
      <c r="W10" s="20">
        <v>0</v>
      </c>
      <c r="X10" s="23">
        <v>6</v>
      </c>
      <c r="AA10" s="1"/>
      <c r="AB10" s="1"/>
    </row>
    <row r="11" spans="2:30">
      <c r="B11" s="2">
        <v>7</v>
      </c>
      <c r="D11" s="2">
        <v>0</v>
      </c>
      <c r="E11" s="2">
        <v>0</v>
      </c>
      <c r="F11" s="2">
        <v>7</v>
      </c>
      <c r="G11" s="5"/>
      <c r="H11" s="5"/>
      <c r="I11" s="5"/>
      <c r="K11" s="3">
        <v>0</v>
      </c>
      <c r="L11" s="3">
        <v>0</v>
      </c>
      <c r="M11" s="9">
        <v>0</v>
      </c>
      <c r="N11" s="15">
        <v>0</v>
      </c>
      <c r="O11" s="3">
        <v>1</v>
      </c>
      <c r="P11" s="3">
        <v>1</v>
      </c>
      <c r="Q11" s="16">
        <f t="shared" ref="Q11" si="2">Q10+1</f>
        <v>1</v>
      </c>
      <c r="R11" s="6"/>
      <c r="S11" s="6"/>
      <c r="T11" s="4">
        <v>7</v>
      </c>
      <c r="V11" s="4">
        <v>0</v>
      </c>
      <c r="W11" s="20">
        <v>0</v>
      </c>
      <c r="X11" s="23">
        <v>7</v>
      </c>
      <c r="AA11" s="1"/>
      <c r="AB11" s="1"/>
      <c r="AD11"/>
    </row>
    <row r="12" spans="2:30">
      <c r="B12" s="2">
        <v>8</v>
      </c>
      <c r="D12" s="2">
        <v>0</v>
      </c>
      <c r="E12" s="2">
        <v>0</v>
      </c>
      <c r="F12" s="2">
        <v>8</v>
      </c>
      <c r="G12" s="5"/>
      <c r="H12" s="5"/>
      <c r="I12" s="5"/>
      <c r="K12" s="3">
        <v>0</v>
      </c>
      <c r="L12" s="3">
        <v>0</v>
      </c>
      <c r="M12" s="9">
        <v>0</v>
      </c>
      <c r="N12" s="15">
        <v>1</v>
      </c>
      <c r="O12" s="3">
        <v>0</v>
      </c>
      <c r="P12" s="3">
        <v>0</v>
      </c>
      <c r="Q12" s="16">
        <v>0</v>
      </c>
      <c r="R12" s="6"/>
      <c r="S12" s="6"/>
      <c r="T12" s="4">
        <v>8</v>
      </c>
      <c r="V12" s="4">
        <v>0</v>
      </c>
      <c r="W12" s="20">
        <v>0</v>
      </c>
      <c r="X12" s="23">
        <v>8</v>
      </c>
      <c r="AA12" s="1"/>
      <c r="AB12" s="1"/>
    </row>
    <row r="13" spans="2:30">
      <c r="B13" s="2">
        <v>9</v>
      </c>
      <c r="D13" s="2">
        <v>0</v>
      </c>
      <c r="E13" s="2">
        <v>0</v>
      </c>
      <c r="F13" s="2">
        <v>9</v>
      </c>
      <c r="G13" s="5"/>
      <c r="H13" s="5"/>
      <c r="I13" s="5"/>
      <c r="K13" s="3">
        <v>0</v>
      </c>
      <c r="L13" s="3">
        <v>0</v>
      </c>
      <c r="M13" s="9">
        <v>0</v>
      </c>
      <c r="N13" s="15">
        <v>1</v>
      </c>
      <c r="O13" s="3">
        <v>0</v>
      </c>
      <c r="P13" s="3">
        <v>0</v>
      </c>
      <c r="Q13" s="16">
        <f t="shared" ref="Q13" si="3">Q12+1</f>
        <v>1</v>
      </c>
      <c r="R13" s="6"/>
      <c r="S13" s="6"/>
      <c r="T13" s="4">
        <v>9</v>
      </c>
      <c r="V13" s="4">
        <v>0</v>
      </c>
      <c r="W13" s="20">
        <v>0</v>
      </c>
      <c r="X13" s="23">
        <v>9</v>
      </c>
      <c r="AA13" s="1"/>
      <c r="AB13" s="1"/>
    </row>
    <row r="14" spans="2:30">
      <c r="D14" s="2">
        <v>0</v>
      </c>
      <c r="E14" s="2">
        <v>1</v>
      </c>
      <c r="F14" s="2">
        <v>0</v>
      </c>
      <c r="G14" s="5"/>
      <c r="H14" s="5"/>
      <c r="I14" s="5"/>
      <c r="K14" s="3">
        <v>0</v>
      </c>
      <c r="L14" s="3">
        <v>0</v>
      </c>
      <c r="M14" s="9">
        <v>0</v>
      </c>
      <c r="N14" s="15">
        <v>1</v>
      </c>
      <c r="O14" s="3">
        <v>0</v>
      </c>
      <c r="P14" s="3">
        <v>1</v>
      </c>
      <c r="Q14" s="16">
        <v>0</v>
      </c>
      <c r="R14" s="6"/>
      <c r="S14" s="6"/>
      <c r="T14" s="4" t="s">
        <v>0</v>
      </c>
      <c r="V14" s="4">
        <v>0</v>
      </c>
      <c r="W14" s="20">
        <v>0</v>
      </c>
      <c r="X14" s="23" t="s">
        <v>0</v>
      </c>
      <c r="AA14" s="1"/>
      <c r="AB14" s="1"/>
    </row>
    <row r="15" spans="2:30">
      <c r="D15" s="2">
        <v>0</v>
      </c>
      <c r="E15" s="2">
        <v>1</v>
      </c>
      <c r="F15" s="2">
        <v>1</v>
      </c>
      <c r="G15" s="5"/>
      <c r="H15" s="5"/>
      <c r="I15" s="5"/>
      <c r="K15" s="3">
        <v>0</v>
      </c>
      <c r="L15" s="3">
        <v>0</v>
      </c>
      <c r="M15" s="9">
        <v>0</v>
      </c>
      <c r="N15" s="15">
        <v>1</v>
      </c>
      <c r="O15" s="3">
        <v>0</v>
      </c>
      <c r="P15" s="3">
        <v>1</v>
      </c>
      <c r="Q15" s="16">
        <f t="shared" ref="Q15" si="4">Q14+1</f>
        <v>1</v>
      </c>
      <c r="R15" s="6"/>
      <c r="S15" s="6"/>
      <c r="T15" s="4" t="s">
        <v>1</v>
      </c>
      <c r="V15" s="4">
        <v>0</v>
      </c>
      <c r="W15" s="20">
        <v>0</v>
      </c>
      <c r="X15" s="23" t="s">
        <v>1</v>
      </c>
      <c r="AA15" s="1"/>
      <c r="AB15" s="1"/>
    </row>
    <row r="16" spans="2:30">
      <c r="D16" s="2">
        <v>0</v>
      </c>
      <c r="E16" s="2">
        <v>1</v>
      </c>
      <c r="F16" s="2">
        <v>2</v>
      </c>
      <c r="G16" s="5"/>
      <c r="H16" s="5"/>
      <c r="I16" s="5"/>
      <c r="K16" s="3">
        <v>0</v>
      </c>
      <c r="L16" s="3">
        <v>0</v>
      </c>
      <c r="M16" s="9">
        <v>0</v>
      </c>
      <c r="N16" s="15">
        <v>1</v>
      </c>
      <c r="O16" s="3">
        <v>1</v>
      </c>
      <c r="P16" s="3">
        <v>0</v>
      </c>
      <c r="Q16" s="16">
        <v>0</v>
      </c>
      <c r="R16" s="6"/>
      <c r="S16" s="6"/>
      <c r="T16" s="4" t="s">
        <v>2</v>
      </c>
      <c r="V16" s="4">
        <v>0</v>
      </c>
      <c r="W16" s="20">
        <v>0</v>
      </c>
      <c r="X16" s="23" t="s">
        <v>2</v>
      </c>
      <c r="AA16" s="1"/>
      <c r="AB16" s="1"/>
    </row>
    <row r="17" spans="4:29">
      <c r="D17" s="2">
        <v>0</v>
      </c>
      <c r="E17" s="2">
        <v>1</v>
      </c>
      <c r="F17" s="2">
        <v>3</v>
      </c>
      <c r="G17" s="5"/>
      <c r="H17" s="5"/>
      <c r="I17" s="5"/>
      <c r="K17" s="3">
        <v>0</v>
      </c>
      <c r="L17" s="3">
        <v>0</v>
      </c>
      <c r="M17" s="9">
        <v>0</v>
      </c>
      <c r="N17" s="15">
        <v>1</v>
      </c>
      <c r="O17" s="3">
        <v>1</v>
      </c>
      <c r="P17" s="3">
        <v>0</v>
      </c>
      <c r="Q17" s="16">
        <f t="shared" ref="Q17" si="5">Q16+1</f>
        <v>1</v>
      </c>
      <c r="R17" s="6"/>
      <c r="S17" s="6"/>
      <c r="T17" s="4" t="s">
        <v>3</v>
      </c>
      <c r="V17" s="4">
        <v>0</v>
      </c>
      <c r="W17" s="20">
        <v>0</v>
      </c>
      <c r="X17" s="23" t="s">
        <v>3</v>
      </c>
      <c r="AA17" s="1"/>
      <c r="AB17" s="1"/>
    </row>
    <row r="18" spans="4:29">
      <c r="D18" s="2">
        <v>0</v>
      </c>
      <c r="E18" s="2">
        <v>1</v>
      </c>
      <c r="F18" s="2">
        <v>4</v>
      </c>
      <c r="G18" s="5"/>
      <c r="H18" s="5"/>
      <c r="I18" s="5"/>
      <c r="K18" s="3">
        <v>0</v>
      </c>
      <c r="L18" s="3">
        <v>0</v>
      </c>
      <c r="M18" s="9">
        <v>0</v>
      </c>
      <c r="N18" s="15">
        <v>1</v>
      </c>
      <c r="O18" s="3">
        <v>1</v>
      </c>
      <c r="P18" s="3">
        <v>1</v>
      </c>
      <c r="Q18" s="16">
        <v>0</v>
      </c>
      <c r="R18" s="6"/>
      <c r="S18" s="6"/>
      <c r="T18" s="4" t="s">
        <v>4</v>
      </c>
      <c r="V18" s="4">
        <v>0</v>
      </c>
      <c r="W18" s="20">
        <v>0</v>
      </c>
      <c r="X18" s="23" t="s">
        <v>4</v>
      </c>
      <c r="AA18" s="1"/>
      <c r="AB18" s="1"/>
    </row>
    <row r="19" spans="4:29" ht="14.4" thickBot="1">
      <c r="D19" s="2">
        <v>0</v>
      </c>
      <c r="E19" s="2">
        <v>1</v>
      </c>
      <c r="F19" s="2">
        <v>5</v>
      </c>
      <c r="G19" s="5"/>
      <c r="H19" s="5"/>
      <c r="I19" s="5"/>
      <c r="K19" s="3">
        <v>0</v>
      </c>
      <c r="L19" s="3">
        <v>0</v>
      </c>
      <c r="M19" s="9">
        <v>0</v>
      </c>
      <c r="N19" s="17">
        <v>1</v>
      </c>
      <c r="O19" s="18">
        <v>1</v>
      </c>
      <c r="P19" s="18">
        <v>1</v>
      </c>
      <c r="Q19" s="19">
        <f t="shared" ref="Q19" si="6">Q18+1</f>
        <v>1</v>
      </c>
      <c r="R19" s="6"/>
      <c r="S19" s="6"/>
      <c r="T19" s="4" t="s">
        <v>5</v>
      </c>
      <c r="V19" s="4">
        <v>0</v>
      </c>
      <c r="W19" s="20">
        <v>0</v>
      </c>
      <c r="X19" s="24" t="s">
        <v>5</v>
      </c>
      <c r="AA19" s="1"/>
      <c r="AB19" s="1"/>
    </row>
    <row r="20" spans="4:29" ht="14.4" thickTop="1">
      <c r="D20" s="2">
        <v>0</v>
      </c>
      <c r="E20" s="2">
        <v>1</v>
      </c>
      <c r="F20" s="2">
        <v>6</v>
      </c>
      <c r="G20" s="5"/>
      <c r="H20" s="5"/>
      <c r="I20" s="5"/>
      <c r="K20" s="3">
        <v>0</v>
      </c>
      <c r="L20" s="3">
        <v>0</v>
      </c>
      <c r="M20" s="3">
        <v>1</v>
      </c>
      <c r="N20" s="11">
        <v>0</v>
      </c>
      <c r="O20" s="11">
        <v>0</v>
      </c>
      <c r="P20" s="11">
        <v>0</v>
      </c>
      <c r="Q20" s="11">
        <v>0</v>
      </c>
      <c r="R20" s="6"/>
      <c r="S20" s="6"/>
      <c r="T20" s="6"/>
      <c r="V20" s="4">
        <v>0</v>
      </c>
      <c r="W20" s="4">
        <v>1</v>
      </c>
      <c r="X20" s="21">
        <v>0</v>
      </c>
      <c r="AA20" s="1"/>
      <c r="AB20" s="1"/>
      <c r="AC20"/>
    </row>
    <row r="21" spans="4:29">
      <c r="D21" s="2">
        <v>0</v>
      </c>
      <c r="E21" s="2">
        <v>1</v>
      </c>
      <c r="F21" s="2">
        <v>7</v>
      </c>
      <c r="G21" s="5"/>
      <c r="H21" s="5"/>
      <c r="I21" s="5"/>
      <c r="K21" s="3">
        <v>0</v>
      </c>
      <c r="L21" s="3">
        <v>0</v>
      </c>
      <c r="M21" s="3">
        <v>1</v>
      </c>
      <c r="N21" s="3">
        <v>0</v>
      </c>
      <c r="O21" s="3">
        <v>0</v>
      </c>
      <c r="P21" s="3">
        <v>0</v>
      </c>
      <c r="Q21" s="3">
        <f t="shared" ref="Q21" si="7">Q20+1</f>
        <v>1</v>
      </c>
      <c r="R21" s="6"/>
      <c r="S21" s="6"/>
      <c r="T21" s="6"/>
      <c r="V21" s="4">
        <v>0</v>
      </c>
      <c r="W21" s="4">
        <v>1</v>
      </c>
      <c r="X21" s="4">
        <v>1</v>
      </c>
      <c r="AA21" s="1"/>
      <c r="AB21" s="1"/>
    </row>
    <row r="22" spans="4:29">
      <c r="D22" s="2">
        <v>0</v>
      </c>
      <c r="E22" s="2">
        <v>1</v>
      </c>
      <c r="F22" s="2">
        <v>8</v>
      </c>
      <c r="G22" s="5"/>
      <c r="H22" s="5"/>
      <c r="I22" s="5"/>
      <c r="K22" s="3">
        <v>0</v>
      </c>
      <c r="L22" s="3">
        <v>0</v>
      </c>
      <c r="M22" s="3">
        <v>1</v>
      </c>
      <c r="N22" s="3">
        <v>0</v>
      </c>
      <c r="O22" s="3">
        <v>0</v>
      </c>
      <c r="P22" s="3">
        <v>1</v>
      </c>
      <c r="Q22" s="3">
        <v>0</v>
      </c>
      <c r="R22" s="6"/>
      <c r="S22" s="6"/>
      <c r="T22" s="6"/>
      <c r="V22" s="4">
        <v>0</v>
      </c>
      <c r="W22" s="4">
        <v>1</v>
      </c>
      <c r="X22" s="4">
        <v>2</v>
      </c>
      <c r="AA22" s="1"/>
      <c r="AB22" s="1"/>
    </row>
    <row r="23" spans="4:29">
      <c r="D23" s="2">
        <v>0</v>
      </c>
      <c r="E23" s="2">
        <v>1</v>
      </c>
      <c r="F23" s="2">
        <v>9</v>
      </c>
      <c r="G23" s="5"/>
      <c r="H23" s="5"/>
      <c r="I23" s="5"/>
      <c r="K23" s="3">
        <v>0</v>
      </c>
      <c r="L23" s="3">
        <v>0</v>
      </c>
      <c r="M23" s="3">
        <v>1</v>
      </c>
      <c r="N23" s="3">
        <v>0</v>
      </c>
      <c r="O23" s="3">
        <v>0</v>
      </c>
      <c r="P23" s="3">
        <v>1</v>
      </c>
      <c r="Q23" s="3">
        <f t="shared" ref="Q23" si="8">Q22+1</f>
        <v>1</v>
      </c>
      <c r="R23" s="6"/>
      <c r="S23" s="6"/>
      <c r="T23" s="6"/>
      <c r="V23" s="4">
        <v>0</v>
      </c>
      <c r="W23" s="4">
        <v>1</v>
      </c>
      <c r="X23" s="4">
        <v>3</v>
      </c>
      <c r="AA23" s="1"/>
      <c r="AB23" s="1"/>
    </row>
    <row r="24" spans="4:29">
      <c r="D24" s="2">
        <v>0</v>
      </c>
      <c r="E24" s="2">
        <v>2</v>
      </c>
      <c r="F24" s="2">
        <v>0</v>
      </c>
      <c r="G24" s="5"/>
      <c r="H24" s="5"/>
      <c r="I24" s="5"/>
      <c r="K24" s="3">
        <v>0</v>
      </c>
      <c r="L24" s="3">
        <v>0</v>
      </c>
      <c r="M24" s="3">
        <v>1</v>
      </c>
      <c r="N24" s="3">
        <v>0</v>
      </c>
      <c r="O24" s="3">
        <v>1</v>
      </c>
      <c r="P24" s="3">
        <v>0</v>
      </c>
      <c r="Q24" s="3">
        <v>0</v>
      </c>
      <c r="R24" s="6"/>
      <c r="S24" s="6"/>
      <c r="T24" s="6"/>
      <c r="V24" s="4">
        <v>0</v>
      </c>
      <c r="W24" s="4">
        <v>1</v>
      </c>
      <c r="X24" s="4">
        <v>4</v>
      </c>
      <c r="AA24" s="1"/>
      <c r="AB24" s="1"/>
    </row>
    <row r="25" spans="4:29">
      <c r="D25" s="2">
        <v>0</v>
      </c>
      <c r="E25" s="2">
        <v>2</v>
      </c>
      <c r="F25" s="2">
        <v>1</v>
      </c>
      <c r="G25" s="5"/>
      <c r="H25" s="5"/>
      <c r="I25" s="5"/>
      <c r="K25" s="3">
        <v>0</v>
      </c>
      <c r="L25" s="3">
        <v>0</v>
      </c>
      <c r="M25" s="3">
        <v>1</v>
      </c>
      <c r="N25" s="3">
        <v>0</v>
      </c>
      <c r="O25" s="3">
        <v>1</v>
      </c>
      <c r="P25" s="3">
        <v>0</v>
      </c>
      <c r="Q25" s="3">
        <f t="shared" ref="Q25" si="9">Q24+1</f>
        <v>1</v>
      </c>
      <c r="R25" s="6"/>
      <c r="S25" s="6"/>
      <c r="T25" s="6"/>
      <c r="V25" s="4">
        <v>0</v>
      </c>
      <c r="W25" s="4">
        <v>1</v>
      </c>
      <c r="X25" s="4">
        <v>5</v>
      </c>
      <c r="AA25" s="1"/>
      <c r="AB25" s="1"/>
    </row>
    <row r="26" spans="4:29">
      <c r="D26" s="2">
        <v>0</v>
      </c>
      <c r="E26" s="2">
        <v>2</v>
      </c>
      <c r="F26" s="2">
        <v>2</v>
      </c>
      <c r="G26" s="5"/>
      <c r="H26" s="5"/>
      <c r="I26" s="5"/>
      <c r="K26" s="3">
        <v>0</v>
      </c>
      <c r="L26" s="3">
        <v>0</v>
      </c>
      <c r="M26" s="3">
        <v>1</v>
      </c>
      <c r="N26" s="3">
        <v>0</v>
      </c>
      <c r="O26" s="3">
        <v>1</v>
      </c>
      <c r="P26" s="3">
        <v>1</v>
      </c>
      <c r="Q26" s="3">
        <v>0</v>
      </c>
      <c r="R26" s="6"/>
      <c r="S26" s="6"/>
      <c r="T26" s="6"/>
      <c r="V26" s="4">
        <v>0</v>
      </c>
      <c r="W26" s="4">
        <v>1</v>
      </c>
      <c r="X26" s="4">
        <v>6</v>
      </c>
      <c r="AA26" s="1"/>
      <c r="AB26" s="1"/>
    </row>
    <row r="27" spans="4:29">
      <c r="D27" s="2">
        <v>0</v>
      </c>
      <c r="E27" s="2">
        <v>2</v>
      </c>
      <c r="F27" s="2">
        <v>3</v>
      </c>
      <c r="G27" s="5"/>
      <c r="H27" s="5"/>
      <c r="I27" s="5"/>
      <c r="K27" s="3">
        <v>0</v>
      </c>
      <c r="L27" s="3">
        <v>0</v>
      </c>
      <c r="M27" s="3">
        <v>1</v>
      </c>
      <c r="N27" s="3">
        <v>0</v>
      </c>
      <c r="O27" s="3">
        <v>1</v>
      </c>
      <c r="P27" s="3">
        <v>1</v>
      </c>
      <c r="Q27" s="3">
        <f t="shared" ref="Q27" si="10">Q26+1</f>
        <v>1</v>
      </c>
      <c r="R27" s="6"/>
      <c r="S27" s="6"/>
      <c r="T27" s="6"/>
      <c r="V27" s="4">
        <v>0</v>
      </c>
      <c r="W27" s="4">
        <v>1</v>
      </c>
      <c r="X27" s="4">
        <v>7</v>
      </c>
      <c r="AA27" s="1"/>
      <c r="AB27" s="1"/>
    </row>
    <row r="28" spans="4:29">
      <c r="D28" s="2">
        <v>0</v>
      </c>
      <c r="E28" s="2">
        <v>2</v>
      </c>
      <c r="F28" s="2">
        <v>4</v>
      </c>
      <c r="G28" s="5"/>
      <c r="H28" s="5"/>
      <c r="I28" s="5"/>
      <c r="K28" s="3">
        <v>0</v>
      </c>
      <c r="L28" s="3">
        <v>0</v>
      </c>
      <c r="M28" s="3">
        <v>1</v>
      </c>
      <c r="N28" s="3">
        <v>1</v>
      </c>
      <c r="O28" s="3">
        <v>0</v>
      </c>
      <c r="P28" s="3">
        <v>0</v>
      </c>
      <c r="Q28" s="3">
        <v>0</v>
      </c>
      <c r="R28" s="6"/>
      <c r="S28" s="6"/>
      <c r="T28" s="6"/>
      <c r="V28" s="4">
        <v>0</v>
      </c>
      <c r="W28" s="4">
        <v>1</v>
      </c>
      <c r="X28" s="4">
        <v>8</v>
      </c>
      <c r="AA28" s="1"/>
      <c r="AB28" s="1"/>
    </row>
    <row r="29" spans="4:29">
      <c r="D29" s="2">
        <v>0</v>
      </c>
      <c r="E29" s="2">
        <v>2</v>
      </c>
      <c r="F29" s="2">
        <v>5</v>
      </c>
      <c r="G29" s="5"/>
      <c r="H29" s="5"/>
      <c r="I29" s="5"/>
      <c r="K29" s="3">
        <v>0</v>
      </c>
      <c r="L29" s="3">
        <v>0</v>
      </c>
      <c r="M29" s="3">
        <v>1</v>
      </c>
      <c r="N29" s="3">
        <v>1</v>
      </c>
      <c r="O29" s="3">
        <v>0</v>
      </c>
      <c r="P29" s="3">
        <v>0</v>
      </c>
      <c r="Q29" s="3">
        <f t="shared" ref="Q29" si="11">Q28+1</f>
        <v>1</v>
      </c>
      <c r="R29" s="6"/>
      <c r="S29" s="6"/>
      <c r="T29" s="6"/>
      <c r="V29" s="4">
        <v>0</v>
      </c>
      <c r="W29" s="4">
        <v>1</v>
      </c>
      <c r="X29" s="4">
        <v>9</v>
      </c>
      <c r="AA29" s="1"/>
      <c r="AB29" s="1"/>
    </row>
    <row r="30" spans="4:29">
      <c r="D30" s="2">
        <v>0</v>
      </c>
      <c r="E30" s="2">
        <v>2</v>
      </c>
      <c r="F30" s="2">
        <v>6</v>
      </c>
      <c r="G30" s="5"/>
      <c r="H30" s="5"/>
      <c r="I30" s="5"/>
      <c r="K30" s="3">
        <v>0</v>
      </c>
      <c r="L30" s="3">
        <v>0</v>
      </c>
      <c r="M30" s="3">
        <v>1</v>
      </c>
      <c r="N30" s="3">
        <v>1</v>
      </c>
      <c r="O30" s="3">
        <v>0</v>
      </c>
      <c r="P30" s="3">
        <v>1</v>
      </c>
      <c r="Q30" s="3">
        <v>0</v>
      </c>
      <c r="R30" s="6"/>
      <c r="S30" s="6"/>
      <c r="T30" s="6"/>
      <c r="V30" s="4">
        <v>0</v>
      </c>
      <c r="W30" s="4">
        <v>1</v>
      </c>
      <c r="X30" s="4" t="s">
        <v>0</v>
      </c>
      <c r="AA30" s="1"/>
      <c r="AB30" s="1"/>
    </row>
    <row r="31" spans="4:29">
      <c r="D31" s="2">
        <v>0</v>
      </c>
      <c r="E31" s="2">
        <v>2</v>
      </c>
      <c r="F31" s="2">
        <v>7</v>
      </c>
      <c r="G31" s="5"/>
      <c r="H31" s="5"/>
      <c r="I31" s="5"/>
      <c r="K31" s="3">
        <v>0</v>
      </c>
      <c r="L31" s="3">
        <v>0</v>
      </c>
      <c r="M31" s="3">
        <v>1</v>
      </c>
      <c r="N31" s="3">
        <v>1</v>
      </c>
      <c r="O31" s="3">
        <v>0</v>
      </c>
      <c r="P31" s="3">
        <v>1</v>
      </c>
      <c r="Q31" s="3">
        <f t="shared" ref="Q31" si="12">Q30+1</f>
        <v>1</v>
      </c>
      <c r="R31" s="6"/>
      <c r="S31" s="6"/>
      <c r="T31" s="6"/>
      <c r="V31" s="4">
        <v>0</v>
      </c>
      <c r="W31" s="4">
        <v>1</v>
      </c>
      <c r="X31" s="4" t="s">
        <v>1</v>
      </c>
      <c r="AA31" s="1"/>
      <c r="AB31" s="1"/>
      <c r="AC31"/>
    </row>
    <row r="32" spans="4:29">
      <c r="D32" s="2">
        <v>0</v>
      </c>
      <c r="E32" s="2">
        <v>2</v>
      </c>
      <c r="F32" s="2">
        <v>8</v>
      </c>
      <c r="G32" s="5"/>
      <c r="H32" s="5"/>
      <c r="I32" s="5"/>
      <c r="K32" s="3">
        <v>0</v>
      </c>
      <c r="L32" s="3">
        <v>0</v>
      </c>
      <c r="M32" s="3">
        <v>1</v>
      </c>
      <c r="N32" s="3">
        <v>1</v>
      </c>
      <c r="O32" s="3">
        <v>1</v>
      </c>
      <c r="P32" s="3">
        <v>0</v>
      </c>
      <c r="Q32" s="3">
        <v>0</v>
      </c>
      <c r="R32" s="6"/>
      <c r="S32" s="6"/>
      <c r="T32" s="6"/>
      <c r="V32" s="4">
        <v>0</v>
      </c>
      <c r="W32" s="4">
        <v>1</v>
      </c>
      <c r="X32" s="4" t="s">
        <v>2</v>
      </c>
      <c r="AA32" s="1"/>
      <c r="AB32" s="1"/>
    </row>
    <row r="33" spans="4:28">
      <c r="D33" s="2">
        <v>0</v>
      </c>
      <c r="E33" s="2">
        <v>2</v>
      </c>
      <c r="F33" s="2">
        <v>9</v>
      </c>
      <c r="G33" s="5"/>
      <c r="H33" s="5"/>
      <c r="I33" s="5"/>
      <c r="K33" s="3">
        <v>0</v>
      </c>
      <c r="L33" s="3">
        <v>0</v>
      </c>
      <c r="M33" s="3">
        <v>1</v>
      </c>
      <c r="N33" s="3">
        <v>1</v>
      </c>
      <c r="O33" s="3">
        <v>1</v>
      </c>
      <c r="P33" s="3">
        <v>0</v>
      </c>
      <c r="Q33" s="3">
        <f t="shared" ref="Q33" si="13">Q32+1</f>
        <v>1</v>
      </c>
      <c r="R33" s="6"/>
      <c r="S33" s="6"/>
      <c r="T33" s="6"/>
      <c r="V33" s="4">
        <v>0</v>
      </c>
      <c r="W33" s="4">
        <v>1</v>
      </c>
      <c r="X33" s="4" t="s">
        <v>3</v>
      </c>
      <c r="AA33" s="1"/>
      <c r="AB33" s="1"/>
    </row>
    <row r="34" spans="4:28">
      <c r="D34" s="2">
        <v>0</v>
      </c>
      <c r="E34" s="2">
        <v>3</v>
      </c>
      <c r="F34" s="2">
        <v>0</v>
      </c>
      <c r="G34" s="5"/>
      <c r="H34" s="5"/>
      <c r="I34" s="5"/>
      <c r="K34" s="3">
        <v>0</v>
      </c>
      <c r="L34" s="3">
        <v>0</v>
      </c>
      <c r="M34" s="3">
        <v>1</v>
      </c>
      <c r="N34" s="3">
        <v>1</v>
      </c>
      <c r="O34" s="3">
        <v>1</v>
      </c>
      <c r="P34" s="3">
        <v>1</v>
      </c>
      <c r="Q34" s="3">
        <v>0</v>
      </c>
      <c r="R34" s="6"/>
      <c r="S34" s="6"/>
      <c r="T34" s="6"/>
      <c r="V34" s="4">
        <v>0</v>
      </c>
      <c r="W34" s="4">
        <v>1</v>
      </c>
      <c r="X34" s="4" t="s">
        <v>4</v>
      </c>
      <c r="AA34" s="1"/>
      <c r="AB34" s="1"/>
    </row>
    <row r="35" spans="4:28" ht="14.4" thickBot="1">
      <c r="D35" s="26">
        <v>0</v>
      </c>
      <c r="E35" s="26">
        <v>3</v>
      </c>
      <c r="F35" s="26">
        <v>1</v>
      </c>
      <c r="G35" s="5"/>
      <c r="H35" s="5"/>
      <c r="I35" s="5"/>
      <c r="K35" s="31">
        <v>0</v>
      </c>
      <c r="L35" s="31">
        <v>0</v>
      </c>
      <c r="M35" s="31">
        <v>1</v>
      </c>
      <c r="N35" s="31">
        <v>1</v>
      </c>
      <c r="O35" s="31">
        <v>1</v>
      </c>
      <c r="P35" s="31">
        <v>1</v>
      </c>
      <c r="Q35" s="31">
        <f t="shared" ref="Q35" si="14">Q34+1</f>
        <v>1</v>
      </c>
      <c r="R35" s="6"/>
      <c r="S35" s="6"/>
      <c r="T35" s="6"/>
      <c r="V35" s="35">
        <v>0</v>
      </c>
      <c r="W35" s="35">
        <v>1</v>
      </c>
      <c r="X35" s="35" t="s">
        <v>5</v>
      </c>
      <c r="AA35" s="1"/>
      <c r="AB35" s="1"/>
    </row>
    <row r="36" spans="4:28" ht="15" thickTop="1" thickBot="1">
      <c r="D36" s="28">
        <v>0</v>
      </c>
      <c r="E36" s="29">
        <v>3</v>
      </c>
      <c r="F36" s="30">
        <v>2</v>
      </c>
      <c r="G36" s="5"/>
      <c r="H36" s="5"/>
      <c r="I36" s="5"/>
      <c r="K36" s="32">
        <v>0</v>
      </c>
      <c r="L36" s="33">
        <v>1</v>
      </c>
      <c r="M36" s="33">
        <v>0</v>
      </c>
      <c r="N36" s="33">
        <v>0</v>
      </c>
      <c r="O36" s="33">
        <v>0</v>
      </c>
      <c r="P36" s="33">
        <v>0</v>
      </c>
      <c r="Q36" s="34">
        <v>0</v>
      </c>
      <c r="R36" s="6"/>
      <c r="S36" s="6"/>
      <c r="T36" s="6"/>
      <c r="V36" s="36">
        <v>0</v>
      </c>
      <c r="W36" s="37">
        <v>2</v>
      </c>
      <c r="X36" s="38">
        <v>0</v>
      </c>
      <c r="Z36" s="8" t="s">
        <v>7</v>
      </c>
    </row>
    <row r="37" spans="4:28" ht="14.4" thickTop="1">
      <c r="D37" s="27">
        <v>0</v>
      </c>
      <c r="E37" s="27">
        <v>3</v>
      </c>
      <c r="F37" s="27">
        <v>3</v>
      </c>
      <c r="G37" s="5"/>
      <c r="H37" s="5"/>
      <c r="I37" s="5"/>
      <c r="K37" s="11">
        <v>0</v>
      </c>
      <c r="L37" s="11">
        <v>1</v>
      </c>
      <c r="M37" s="11">
        <v>0</v>
      </c>
      <c r="N37" s="11">
        <v>0</v>
      </c>
      <c r="O37" s="11">
        <v>0</v>
      </c>
      <c r="P37" s="11">
        <v>0</v>
      </c>
      <c r="Q37" s="11">
        <f t="shared" ref="Q37" si="15">Q36+1</f>
        <v>1</v>
      </c>
      <c r="R37" s="6"/>
      <c r="S37" s="6"/>
      <c r="T37" s="6"/>
      <c r="V37" s="21">
        <v>0</v>
      </c>
      <c r="W37" s="21">
        <v>2</v>
      </c>
      <c r="X37" s="21">
        <v>1</v>
      </c>
    </row>
    <row r="38" spans="4:28">
      <c r="D38" s="2">
        <v>0</v>
      </c>
      <c r="E38" s="2">
        <v>3</v>
      </c>
      <c r="F38" s="2">
        <v>4</v>
      </c>
      <c r="G38" s="5"/>
      <c r="H38" s="5"/>
      <c r="I38" s="5"/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1</v>
      </c>
      <c r="Q38" s="3">
        <v>0</v>
      </c>
      <c r="R38" s="6"/>
      <c r="S38" s="6"/>
      <c r="T38" s="6"/>
      <c r="V38" s="4">
        <v>0</v>
      </c>
      <c r="W38" s="4">
        <v>2</v>
      </c>
      <c r="X38" s="4">
        <v>2</v>
      </c>
    </row>
  </sheetData>
  <pageMargins left="0.7" right="0.7" top="0.75" bottom="0.75" header="0.3" footer="0.3"/>
  <headerFooter>
    <oddFooter>&amp;L_x000D_&amp;1#&amp;"Calibri"&amp;10&amp;K000000 MAHLE internal restricted (CL2)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DD78C-3F9B-4B2B-A1C3-85CFF1042C23}">
  <dimension ref="B3:AC41"/>
  <sheetViews>
    <sheetView showGridLines="0" showRowColHeaders="0" zoomScale="90" zoomScaleNormal="90" workbookViewId="0">
      <selection activeCell="S44" sqref="S44"/>
    </sheetView>
  </sheetViews>
  <sheetFormatPr defaultRowHeight="13.8"/>
  <cols>
    <col min="1" max="2" width="4.19921875" style="1" customWidth="1"/>
    <col min="3" max="3" width="1.5" style="1" customWidth="1"/>
    <col min="4" max="9" width="4.19921875" style="1" customWidth="1"/>
    <col min="10" max="10" width="1.59765625" style="1" customWidth="1"/>
    <col min="11" max="11" width="4.296875" style="1" customWidth="1"/>
    <col min="12" max="12" width="0.796875" style="1" customWidth="1"/>
    <col min="13" max="13" width="4.296875" style="1" customWidth="1"/>
    <col min="14" max="23" width="4.19921875" style="1" customWidth="1"/>
    <col min="24" max="24" width="2.19921875" style="1" customWidth="1"/>
    <col min="25" max="27" width="4.19921875" style="1" customWidth="1"/>
    <col min="28" max="16384" width="8.796875" style="1"/>
  </cols>
  <sheetData>
    <row r="3" spans="2:27">
      <c r="D3" s="7">
        <v>100</v>
      </c>
      <c r="E3" s="7">
        <v>10</v>
      </c>
      <c r="F3" s="7">
        <v>1</v>
      </c>
      <c r="K3" s="7">
        <v>256</v>
      </c>
      <c r="M3" s="7">
        <v>128</v>
      </c>
      <c r="N3" s="7">
        <v>64</v>
      </c>
      <c r="O3" s="7">
        <v>32</v>
      </c>
      <c r="P3" s="25">
        <v>16</v>
      </c>
      <c r="Q3" s="10">
        <v>8</v>
      </c>
      <c r="R3" s="10">
        <v>4</v>
      </c>
      <c r="S3" s="10">
        <v>2</v>
      </c>
      <c r="T3" s="10">
        <v>1</v>
      </c>
      <c r="Y3" s="7">
        <v>256</v>
      </c>
      <c r="Z3" s="25">
        <v>16</v>
      </c>
      <c r="AA3" s="10">
        <v>1</v>
      </c>
    </row>
    <row r="4" spans="2:27" s="40" customFormat="1" ht="12.6" customHeight="1">
      <c r="B4" s="39">
        <v>0</v>
      </c>
      <c r="D4" s="39">
        <v>0</v>
      </c>
      <c r="E4" s="39">
        <v>0</v>
      </c>
      <c r="F4" s="39">
        <v>0</v>
      </c>
      <c r="G4" s="41"/>
      <c r="H4" s="41"/>
      <c r="I4" s="42">
        <v>0</v>
      </c>
      <c r="K4" s="42">
        <v>0</v>
      </c>
      <c r="L4" s="1"/>
      <c r="M4" s="42">
        <v>0</v>
      </c>
      <c r="N4" s="42">
        <v>0</v>
      </c>
      <c r="O4" s="42">
        <v>0</v>
      </c>
      <c r="P4" s="43">
        <v>0</v>
      </c>
      <c r="Q4" s="42">
        <v>0</v>
      </c>
      <c r="R4" s="42">
        <v>0</v>
      </c>
      <c r="S4" s="42">
        <v>0</v>
      </c>
      <c r="T4" s="42">
        <v>0</v>
      </c>
      <c r="U4" s="44"/>
      <c r="W4" s="45">
        <v>0</v>
      </c>
      <c r="Y4" s="45">
        <v>0</v>
      </c>
      <c r="Z4" s="46">
        <v>0</v>
      </c>
      <c r="AA4" s="45">
        <v>0</v>
      </c>
    </row>
    <row r="5" spans="2:27" s="40" customFormat="1" ht="12.6" customHeight="1">
      <c r="B5" s="39">
        <v>1</v>
      </c>
      <c r="D5" s="39">
        <v>0</v>
      </c>
      <c r="E5" s="39">
        <v>0</v>
      </c>
      <c r="F5" s="39">
        <v>1</v>
      </c>
      <c r="G5" s="41"/>
      <c r="H5" s="41"/>
      <c r="I5" s="42">
        <f>I4+1</f>
        <v>1</v>
      </c>
      <c r="K5" s="42">
        <v>0</v>
      </c>
      <c r="L5" s="1"/>
      <c r="M5" s="42">
        <v>0</v>
      </c>
      <c r="N5" s="42">
        <v>0</v>
      </c>
      <c r="O5" s="42">
        <v>0</v>
      </c>
      <c r="P5" s="43">
        <v>0</v>
      </c>
      <c r="Q5" s="42">
        <v>0</v>
      </c>
      <c r="R5" s="42">
        <v>0</v>
      </c>
      <c r="S5" s="42">
        <v>0</v>
      </c>
      <c r="T5" s="42">
        <f>T4+1</f>
        <v>1</v>
      </c>
      <c r="U5" s="44"/>
      <c r="W5" s="45">
        <v>1</v>
      </c>
      <c r="Y5" s="45">
        <v>0</v>
      </c>
      <c r="Z5" s="46">
        <v>0</v>
      </c>
      <c r="AA5" s="45">
        <v>1</v>
      </c>
    </row>
    <row r="6" spans="2:27" s="40" customFormat="1" ht="12.6" customHeight="1">
      <c r="B6" s="39">
        <v>2</v>
      </c>
      <c r="D6" s="39">
        <v>0</v>
      </c>
      <c r="E6" s="39">
        <v>0</v>
      </c>
      <c r="F6" s="39">
        <v>2</v>
      </c>
      <c r="G6" s="41"/>
      <c r="H6" s="41"/>
      <c r="I6" s="41"/>
      <c r="K6" s="42">
        <v>0</v>
      </c>
      <c r="L6" s="1"/>
      <c r="M6" s="42">
        <v>0</v>
      </c>
      <c r="N6" s="42">
        <v>0</v>
      </c>
      <c r="O6" s="42">
        <v>0</v>
      </c>
      <c r="P6" s="43">
        <v>0</v>
      </c>
      <c r="Q6" s="42">
        <v>0</v>
      </c>
      <c r="R6" s="42">
        <v>0</v>
      </c>
      <c r="S6" s="42">
        <v>1</v>
      </c>
      <c r="T6" s="42">
        <v>0</v>
      </c>
      <c r="U6" s="44"/>
      <c r="W6" s="45">
        <v>2</v>
      </c>
      <c r="Y6" s="45">
        <v>0</v>
      </c>
      <c r="Z6" s="46">
        <v>0</v>
      </c>
      <c r="AA6" s="45">
        <v>2</v>
      </c>
    </row>
    <row r="7" spans="2:27" s="40" customFormat="1" ht="12.6" customHeight="1">
      <c r="B7" s="39">
        <v>3</v>
      </c>
      <c r="D7" s="39">
        <v>0</v>
      </c>
      <c r="E7" s="39">
        <v>0</v>
      </c>
      <c r="F7" s="39">
        <v>3</v>
      </c>
      <c r="G7" s="41"/>
      <c r="H7" s="41"/>
      <c r="I7" s="41"/>
      <c r="K7" s="42">
        <v>0</v>
      </c>
      <c r="L7" s="1"/>
      <c r="M7" s="42">
        <v>0</v>
      </c>
      <c r="N7" s="42">
        <v>0</v>
      </c>
      <c r="O7" s="42">
        <v>0</v>
      </c>
      <c r="P7" s="43">
        <v>0</v>
      </c>
      <c r="Q7" s="42">
        <v>0</v>
      </c>
      <c r="R7" s="42">
        <v>0</v>
      </c>
      <c r="S7" s="42">
        <v>1</v>
      </c>
      <c r="T7" s="42">
        <f t="shared" ref="T7" si="0">T6+1</f>
        <v>1</v>
      </c>
      <c r="U7" s="44"/>
      <c r="W7" s="45">
        <v>3</v>
      </c>
      <c r="Y7" s="45">
        <v>0</v>
      </c>
      <c r="Z7" s="46">
        <v>0</v>
      </c>
      <c r="AA7" s="45">
        <v>3</v>
      </c>
    </row>
    <row r="8" spans="2:27" s="40" customFormat="1" ht="12.6" customHeight="1">
      <c r="B8" s="39">
        <v>4</v>
      </c>
      <c r="D8" s="39">
        <v>0</v>
      </c>
      <c r="E8" s="39">
        <v>0</v>
      </c>
      <c r="F8" s="39">
        <v>4</v>
      </c>
      <c r="G8" s="41"/>
      <c r="H8" s="41"/>
      <c r="I8" s="41"/>
      <c r="K8" s="42">
        <v>0</v>
      </c>
      <c r="L8" s="1"/>
      <c r="M8" s="42">
        <v>0</v>
      </c>
      <c r="N8" s="42">
        <v>0</v>
      </c>
      <c r="O8" s="42">
        <v>0</v>
      </c>
      <c r="P8" s="43">
        <v>0</v>
      </c>
      <c r="Q8" s="42">
        <v>0</v>
      </c>
      <c r="R8" s="42">
        <v>1</v>
      </c>
      <c r="S8" s="42">
        <v>0</v>
      </c>
      <c r="T8" s="42">
        <v>0</v>
      </c>
      <c r="U8" s="44"/>
      <c r="W8" s="45">
        <v>4</v>
      </c>
      <c r="Y8" s="45">
        <v>0</v>
      </c>
      <c r="Z8" s="46">
        <v>0</v>
      </c>
      <c r="AA8" s="45">
        <v>4</v>
      </c>
    </row>
    <row r="9" spans="2:27" s="40" customFormat="1" ht="12.6" customHeight="1">
      <c r="B9" s="39">
        <v>5</v>
      </c>
      <c r="D9" s="39">
        <v>0</v>
      </c>
      <c r="E9" s="39">
        <v>0</v>
      </c>
      <c r="F9" s="39">
        <v>5</v>
      </c>
      <c r="G9" s="41"/>
      <c r="H9" s="41"/>
      <c r="I9" s="41"/>
      <c r="K9" s="42">
        <v>0</v>
      </c>
      <c r="L9" s="1"/>
      <c r="M9" s="42">
        <v>0</v>
      </c>
      <c r="N9" s="42">
        <v>0</v>
      </c>
      <c r="O9" s="42">
        <v>0</v>
      </c>
      <c r="P9" s="43">
        <v>0</v>
      </c>
      <c r="Q9" s="42">
        <v>0</v>
      </c>
      <c r="R9" s="42">
        <v>1</v>
      </c>
      <c r="S9" s="42">
        <v>0</v>
      </c>
      <c r="T9" s="42">
        <f t="shared" ref="T9" si="1">T8+1</f>
        <v>1</v>
      </c>
      <c r="U9" s="44"/>
      <c r="W9" s="45">
        <v>5</v>
      </c>
      <c r="Y9" s="45">
        <v>0</v>
      </c>
      <c r="Z9" s="46">
        <v>0</v>
      </c>
      <c r="AA9" s="45">
        <v>5</v>
      </c>
    </row>
    <row r="10" spans="2:27" s="40" customFormat="1" ht="12.6" customHeight="1">
      <c r="B10" s="39">
        <v>6</v>
      </c>
      <c r="D10" s="39">
        <v>0</v>
      </c>
      <c r="E10" s="39">
        <v>0</v>
      </c>
      <c r="F10" s="39">
        <v>6</v>
      </c>
      <c r="G10" s="41"/>
      <c r="H10" s="41"/>
      <c r="I10" s="41"/>
      <c r="K10" s="42">
        <v>0</v>
      </c>
      <c r="L10" s="1"/>
      <c r="M10" s="42">
        <v>0</v>
      </c>
      <c r="N10" s="42">
        <v>0</v>
      </c>
      <c r="O10" s="42">
        <v>0</v>
      </c>
      <c r="P10" s="43">
        <v>0</v>
      </c>
      <c r="Q10" s="42">
        <v>0</v>
      </c>
      <c r="R10" s="42">
        <v>1</v>
      </c>
      <c r="S10" s="42">
        <v>1</v>
      </c>
      <c r="T10" s="42">
        <v>0</v>
      </c>
      <c r="U10" s="44"/>
      <c r="W10" s="45">
        <v>6</v>
      </c>
      <c r="Y10" s="45">
        <v>0</v>
      </c>
      <c r="Z10" s="46">
        <v>0</v>
      </c>
      <c r="AA10" s="45">
        <v>6</v>
      </c>
    </row>
    <row r="11" spans="2:27" s="40" customFormat="1" ht="12.6" customHeight="1">
      <c r="B11" s="39">
        <v>7</v>
      </c>
      <c r="D11" s="39">
        <v>0</v>
      </c>
      <c r="E11" s="39">
        <v>0</v>
      </c>
      <c r="F11" s="39">
        <v>7</v>
      </c>
      <c r="G11" s="41"/>
      <c r="H11" s="41"/>
      <c r="I11" s="41"/>
      <c r="K11" s="42">
        <v>0</v>
      </c>
      <c r="L11" s="1"/>
      <c r="M11" s="42">
        <v>0</v>
      </c>
      <c r="N11" s="42">
        <v>0</v>
      </c>
      <c r="O11" s="42">
        <v>0</v>
      </c>
      <c r="P11" s="43">
        <v>0</v>
      </c>
      <c r="Q11" s="42">
        <v>0</v>
      </c>
      <c r="R11" s="42">
        <v>1</v>
      </c>
      <c r="S11" s="42">
        <v>1</v>
      </c>
      <c r="T11" s="42">
        <f t="shared" ref="T11" si="2">T10+1</f>
        <v>1</v>
      </c>
      <c r="U11" s="44"/>
      <c r="W11" s="45">
        <v>7</v>
      </c>
      <c r="Y11" s="45">
        <v>0</v>
      </c>
      <c r="Z11" s="46">
        <v>0</v>
      </c>
      <c r="AA11" s="45">
        <v>7</v>
      </c>
    </row>
    <row r="12" spans="2:27" s="40" customFormat="1" ht="12.6" customHeight="1">
      <c r="B12" s="39">
        <v>8</v>
      </c>
      <c r="D12" s="39">
        <v>0</v>
      </c>
      <c r="E12" s="39">
        <v>0</v>
      </c>
      <c r="F12" s="39">
        <v>8</v>
      </c>
      <c r="G12" s="41"/>
      <c r="H12" s="41"/>
      <c r="I12" s="41"/>
      <c r="K12" s="42">
        <v>0</v>
      </c>
      <c r="L12" s="1"/>
      <c r="M12" s="42">
        <v>0</v>
      </c>
      <c r="N12" s="42">
        <v>0</v>
      </c>
      <c r="O12" s="42">
        <v>0</v>
      </c>
      <c r="P12" s="43">
        <v>0</v>
      </c>
      <c r="Q12" s="42">
        <v>1</v>
      </c>
      <c r="R12" s="42">
        <v>0</v>
      </c>
      <c r="S12" s="42">
        <v>0</v>
      </c>
      <c r="T12" s="42">
        <v>0</v>
      </c>
      <c r="U12" s="44"/>
      <c r="W12" s="45">
        <v>8</v>
      </c>
      <c r="Y12" s="45">
        <v>0</v>
      </c>
      <c r="Z12" s="46">
        <v>0</v>
      </c>
      <c r="AA12" s="45">
        <v>8</v>
      </c>
    </row>
    <row r="13" spans="2:27" s="40" customFormat="1" ht="12.6" customHeight="1">
      <c r="B13" s="39">
        <v>9</v>
      </c>
      <c r="D13" s="39">
        <v>0</v>
      </c>
      <c r="E13" s="39">
        <v>0</v>
      </c>
      <c r="F13" s="39">
        <v>9</v>
      </c>
      <c r="G13" s="41"/>
      <c r="H13" s="41"/>
      <c r="I13" s="41"/>
      <c r="K13" s="42">
        <v>0</v>
      </c>
      <c r="L13" s="1"/>
      <c r="M13" s="42">
        <v>0</v>
      </c>
      <c r="N13" s="42">
        <v>0</v>
      </c>
      <c r="O13" s="42">
        <v>0</v>
      </c>
      <c r="P13" s="43">
        <v>0</v>
      </c>
      <c r="Q13" s="42">
        <v>1</v>
      </c>
      <c r="R13" s="42">
        <v>0</v>
      </c>
      <c r="S13" s="42">
        <v>0</v>
      </c>
      <c r="T13" s="42">
        <f t="shared" ref="T13" si="3">T12+1</f>
        <v>1</v>
      </c>
      <c r="U13" s="44"/>
      <c r="W13" s="45">
        <v>9</v>
      </c>
      <c r="Y13" s="45">
        <v>0</v>
      </c>
      <c r="Z13" s="46">
        <v>0</v>
      </c>
      <c r="AA13" s="45">
        <v>9</v>
      </c>
    </row>
    <row r="14" spans="2:27" s="40" customFormat="1" ht="12.6" customHeight="1">
      <c r="D14" s="39">
        <v>0</v>
      </c>
      <c r="E14" s="39">
        <v>1</v>
      </c>
      <c r="F14" s="39">
        <v>0</v>
      </c>
      <c r="G14" s="41"/>
      <c r="H14" s="41"/>
      <c r="I14" s="41"/>
      <c r="K14" s="42">
        <v>0</v>
      </c>
      <c r="L14" s="1"/>
      <c r="M14" s="42">
        <v>0</v>
      </c>
      <c r="N14" s="42">
        <v>0</v>
      </c>
      <c r="O14" s="42">
        <v>0</v>
      </c>
      <c r="P14" s="43">
        <v>0</v>
      </c>
      <c r="Q14" s="42">
        <v>1</v>
      </c>
      <c r="R14" s="42">
        <v>0</v>
      </c>
      <c r="S14" s="42">
        <v>1</v>
      </c>
      <c r="T14" s="42">
        <v>0</v>
      </c>
      <c r="U14" s="44"/>
      <c r="W14" s="45" t="s">
        <v>0</v>
      </c>
      <c r="Y14" s="45">
        <v>0</v>
      </c>
      <c r="Z14" s="46">
        <v>0</v>
      </c>
      <c r="AA14" s="45" t="s">
        <v>0</v>
      </c>
    </row>
    <row r="15" spans="2:27" s="40" customFormat="1" ht="12.6" customHeight="1">
      <c r="D15" s="39">
        <v>0</v>
      </c>
      <c r="E15" s="39">
        <v>1</v>
      </c>
      <c r="F15" s="39">
        <v>1</v>
      </c>
      <c r="G15" s="41"/>
      <c r="H15" s="41"/>
      <c r="I15" s="41"/>
      <c r="K15" s="42">
        <v>0</v>
      </c>
      <c r="L15" s="1"/>
      <c r="M15" s="42">
        <v>0</v>
      </c>
      <c r="N15" s="42">
        <v>0</v>
      </c>
      <c r="O15" s="42">
        <v>0</v>
      </c>
      <c r="P15" s="43">
        <v>0</v>
      </c>
      <c r="Q15" s="42">
        <v>1</v>
      </c>
      <c r="R15" s="42">
        <v>0</v>
      </c>
      <c r="S15" s="42">
        <v>1</v>
      </c>
      <c r="T15" s="42">
        <f t="shared" ref="T15" si="4">T14+1</f>
        <v>1</v>
      </c>
      <c r="U15" s="44"/>
      <c r="W15" s="45" t="s">
        <v>1</v>
      </c>
      <c r="Y15" s="45">
        <v>0</v>
      </c>
      <c r="Z15" s="46">
        <v>0</v>
      </c>
      <c r="AA15" s="45" t="s">
        <v>1</v>
      </c>
    </row>
    <row r="16" spans="2:27" s="40" customFormat="1" ht="12.6" customHeight="1">
      <c r="D16" s="39">
        <v>0</v>
      </c>
      <c r="E16" s="39">
        <v>1</v>
      </c>
      <c r="F16" s="39">
        <v>2</v>
      </c>
      <c r="G16" s="41"/>
      <c r="H16" s="41"/>
      <c r="I16" s="41"/>
      <c r="K16" s="42">
        <v>0</v>
      </c>
      <c r="L16" s="1"/>
      <c r="M16" s="42">
        <v>0</v>
      </c>
      <c r="N16" s="42">
        <v>0</v>
      </c>
      <c r="O16" s="42">
        <v>0</v>
      </c>
      <c r="P16" s="43">
        <v>0</v>
      </c>
      <c r="Q16" s="42">
        <v>1</v>
      </c>
      <c r="R16" s="42">
        <v>1</v>
      </c>
      <c r="S16" s="42">
        <v>0</v>
      </c>
      <c r="T16" s="42">
        <v>0</v>
      </c>
      <c r="U16" s="44"/>
      <c r="W16" s="45" t="s">
        <v>2</v>
      </c>
      <c r="Y16" s="45">
        <v>0</v>
      </c>
      <c r="Z16" s="46">
        <v>0</v>
      </c>
      <c r="AA16" s="45" t="s">
        <v>2</v>
      </c>
    </row>
    <row r="17" spans="4:29" s="40" customFormat="1" ht="12.6" customHeight="1">
      <c r="D17" s="39">
        <v>0</v>
      </c>
      <c r="E17" s="39">
        <v>1</v>
      </c>
      <c r="F17" s="39">
        <v>3</v>
      </c>
      <c r="G17" s="41"/>
      <c r="H17" s="41"/>
      <c r="I17" s="41"/>
      <c r="K17" s="42">
        <v>0</v>
      </c>
      <c r="L17" s="1"/>
      <c r="M17" s="42">
        <v>0</v>
      </c>
      <c r="N17" s="42">
        <v>0</v>
      </c>
      <c r="O17" s="42">
        <v>0</v>
      </c>
      <c r="P17" s="43">
        <v>0</v>
      </c>
      <c r="Q17" s="42">
        <v>1</v>
      </c>
      <c r="R17" s="42">
        <v>1</v>
      </c>
      <c r="S17" s="42">
        <v>0</v>
      </c>
      <c r="T17" s="42">
        <f t="shared" ref="T17" si="5">T16+1</f>
        <v>1</v>
      </c>
      <c r="U17" s="44"/>
      <c r="W17" s="45" t="s">
        <v>3</v>
      </c>
      <c r="Y17" s="45">
        <v>0</v>
      </c>
      <c r="Z17" s="46">
        <v>0</v>
      </c>
      <c r="AA17" s="45" t="s">
        <v>3</v>
      </c>
    </row>
    <row r="18" spans="4:29" s="40" customFormat="1" ht="12.6" customHeight="1">
      <c r="D18" s="39">
        <v>0</v>
      </c>
      <c r="E18" s="39">
        <v>1</v>
      </c>
      <c r="F18" s="39">
        <v>4</v>
      </c>
      <c r="G18" s="41"/>
      <c r="H18" s="41"/>
      <c r="I18" s="41"/>
      <c r="K18" s="42">
        <v>0</v>
      </c>
      <c r="L18" s="1"/>
      <c r="M18" s="42">
        <v>0</v>
      </c>
      <c r="N18" s="42">
        <v>0</v>
      </c>
      <c r="O18" s="42">
        <v>0</v>
      </c>
      <c r="P18" s="43">
        <v>0</v>
      </c>
      <c r="Q18" s="42">
        <v>1</v>
      </c>
      <c r="R18" s="42">
        <v>1</v>
      </c>
      <c r="S18" s="42">
        <v>1</v>
      </c>
      <c r="T18" s="42">
        <v>0</v>
      </c>
      <c r="U18" s="44"/>
      <c r="W18" s="45" t="s">
        <v>4</v>
      </c>
      <c r="Y18" s="45">
        <v>0</v>
      </c>
      <c r="Z18" s="46">
        <v>0</v>
      </c>
      <c r="AA18" s="45" t="s">
        <v>4</v>
      </c>
    </row>
    <row r="19" spans="4:29" s="40" customFormat="1" ht="12.6" customHeight="1">
      <c r="D19" s="39">
        <v>0</v>
      </c>
      <c r="E19" s="39">
        <v>1</v>
      </c>
      <c r="F19" s="39">
        <v>5</v>
      </c>
      <c r="G19" s="41"/>
      <c r="H19" s="41"/>
      <c r="I19" s="41"/>
      <c r="K19" s="42">
        <v>0</v>
      </c>
      <c r="L19" s="1"/>
      <c r="M19" s="42">
        <v>0</v>
      </c>
      <c r="N19" s="42">
        <v>0</v>
      </c>
      <c r="O19" s="42">
        <v>0</v>
      </c>
      <c r="P19" s="43">
        <v>0</v>
      </c>
      <c r="Q19" s="42">
        <v>1</v>
      </c>
      <c r="R19" s="42">
        <v>1</v>
      </c>
      <c r="S19" s="42">
        <v>1</v>
      </c>
      <c r="T19" s="42">
        <f t="shared" ref="T19" si="6">T18+1</f>
        <v>1</v>
      </c>
      <c r="U19" s="44"/>
      <c r="W19" s="45" t="s">
        <v>5</v>
      </c>
      <c r="Y19" s="45">
        <v>0</v>
      </c>
      <c r="Z19" s="46">
        <v>0</v>
      </c>
      <c r="AA19" s="45" t="s">
        <v>5</v>
      </c>
    </row>
    <row r="20" spans="4:29" s="40" customFormat="1" ht="12.6" customHeight="1">
      <c r="D20" s="39">
        <v>0</v>
      </c>
      <c r="E20" s="39">
        <v>1</v>
      </c>
      <c r="F20" s="39">
        <v>6</v>
      </c>
      <c r="G20" s="41"/>
      <c r="H20" s="41"/>
      <c r="I20" s="41"/>
      <c r="K20" s="42">
        <v>0</v>
      </c>
      <c r="L20" s="1"/>
      <c r="M20" s="42">
        <v>0</v>
      </c>
      <c r="N20" s="42">
        <v>0</v>
      </c>
      <c r="O20" s="42">
        <v>0</v>
      </c>
      <c r="P20" s="42">
        <v>1</v>
      </c>
      <c r="Q20" s="47">
        <v>0</v>
      </c>
      <c r="R20" s="47">
        <v>0</v>
      </c>
      <c r="S20" s="47">
        <v>0</v>
      </c>
      <c r="T20" s="47">
        <v>0</v>
      </c>
      <c r="U20" s="44"/>
      <c r="W20" s="44"/>
      <c r="Y20" s="45">
        <v>0</v>
      </c>
      <c r="Z20" s="45">
        <v>1</v>
      </c>
      <c r="AA20" s="48">
        <v>0</v>
      </c>
    </row>
    <row r="21" spans="4:29" s="40" customFormat="1" ht="12.6" customHeight="1">
      <c r="D21" s="39">
        <v>0</v>
      </c>
      <c r="E21" s="39">
        <v>1</v>
      </c>
      <c r="F21" s="39">
        <v>7</v>
      </c>
      <c r="G21" s="41"/>
      <c r="H21" s="41"/>
      <c r="I21" s="41"/>
      <c r="K21" s="42">
        <v>0</v>
      </c>
      <c r="L21" s="1"/>
      <c r="M21" s="42">
        <v>0</v>
      </c>
      <c r="N21" s="42">
        <v>0</v>
      </c>
      <c r="O21" s="42">
        <v>0</v>
      </c>
      <c r="P21" s="42">
        <v>1</v>
      </c>
      <c r="Q21" s="42">
        <v>0</v>
      </c>
      <c r="R21" s="42">
        <v>0</v>
      </c>
      <c r="S21" s="42">
        <v>0</v>
      </c>
      <c r="T21" s="42">
        <f t="shared" ref="T21" si="7">T20+1</f>
        <v>1</v>
      </c>
      <c r="U21" s="44"/>
      <c r="W21" s="44"/>
      <c r="Y21" s="45">
        <v>0</v>
      </c>
      <c r="Z21" s="45">
        <v>1</v>
      </c>
      <c r="AA21" s="45">
        <v>1</v>
      </c>
    </row>
    <row r="22" spans="4:29" s="40" customFormat="1" ht="12.6" customHeight="1">
      <c r="D22" s="39">
        <v>0</v>
      </c>
      <c r="E22" s="39">
        <v>1</v>
      </c>
      <c r="F22" s="39">
        <v>8</v>
      </c>
      <c r="G22" s="41"/>
      <c r="H22" s="41"/>
      <c r="I22" s="41"/>
      <c r="K22" s="42">
        <v>0</v>
      </c>
      <c r="L22" s="1"/>
      <c r="M22" s="42">
        <v>0</v>
      </c>
      <c r="N22" s="42">
        <v>0</v>
      </c>
      <c r="O22" s="42">
        <v>0</v>
      </c>
      <c r="P22" s="42">
        <v>1</v>
      </c>
      <c r="Q22" s="42">
        <v>0</v>
      </c>
      <c r="R22" s="42">
        <v>0</v>
      </c>
      <c r="S22" s="42">
        <v>1</v>
      </c>
      <c r="T22" s="42">
        <v>0</v>
      </c>
      <c r="U22" s="44"/>
      <c r="W22" s="44"/>
      <c r="Y22" s="45">
        <v>0</v>
      </c>
      <c r="Z22" s="45">
        <v>1</v>
      </c>
      <c r="AA22" s="45">
        <v>2</v>
      </c>
    </row>
    <row r="23" spans="4:29" s="40" customFormat="1" ht="7.2" customHeight="1">
      <c r="D23" s="49"/>
      <c r="E23" s="49"/>
      <c r="F23" s="49"/>
      <c r="G23" s="41"/>
      <c r="H23" s="41"/>
      <c r="I23" s="41"/>
      <c r="K23" s="50"/>
      <c r="L23" s="1"/>
      <c r="M23" s="50"/>
      <c r="N23" s="50"/>
      <c r="O23" s="50"/>
      <c r="P23" s="50"/>
      <c r="Q23" s="50"/>
      <c r="R23" s="50"/>
      <c r="S23" s="50"/>
      <c r="T23" s="50"/>
      <c r="U23" s="44"/>
      <c r="W23" s="44"/>
      <c r="Y23" s="51"/>
      <c r="Z23" s="51"/>
      <c r="AA23" s="51"/>
    </row>
    <row r="24" spans="4:29" s="41" customFormat="1" ht="12.6" customHeight="1">
      <c r="E24" s="41" t="s">
        <v>8</v>
      </c>
      <c r="K24" s="44"/>
      <c r="L24" s="1"/>
      <c r="M24" s="44"/>
      <c r="N24" s="44"/>
      <c r="O24" s="44"/>
      <c r="P24" s="44" t="s">
        <v>8</v>
      </c>
      <c r="Q24" s="44"/>
      <c r="R24" s="44"/>
      <c r="S24" s="44"/>
      <c r="T24" s="44"/>
      <c r="U24" s="44"/>
      <c r="W24" s="44"/>
      <c r="Y24" s="53"/>
      <c r="Z24" s="53" t="s">
        <v>8</v>
      </c>
      <c r="AA24" s="53"/>
    </row>
    <row r="25" spans="4:29" s="40" customFormat="1" ht="6" customHeight="1">
      <c r="D25" s="52"/>
      <c r="E25" s="52"/>
      <c r="F25" s="52"/>
      <c r="G25" s="41"/>
      <c r="H25" s="41"/>
      <c r="I25" s="41"/>
      <c r="K25" s="47"/>
      <c r="L25" s="1"/>
      <c r="M25" s="47"/>
      <c r="N25" s="47"/>
      <c r="O25" s="47"/>
      <c r="P25" s="47"/>
      <c r="Q25" s="47"/>
      <c r="R25" s="47"/>
      <c r="S25" s="47"/>
      <c r="T25" s="47"/>
      <c r="U25" s="44"/>
      <c r="W25" s="44"/>
      <c r="Y25" s="48"/>
      <c r="Z25" s="48"/>
      <c r="AA25" s="48"/>
    </row>
    <row r="26" spans="4:29" s="40" customFormat="1" ht="12.6" customHeight="1">
      <c r="D26" s="39">
        <v>2</v>
      </c>
      <c r="E26" s="39">
        <v>4</v>
      </c>
      <c r="F26" s="39">
        <v>3</v>
      </c>
      <c r="G26" s="41"/>
      <c r="H26" s="41"/>
      <c r="I26" s="41"/>
      <c r="K26" s="42">
        <v>0</v>
      </c>
      <c r="L26" s="1"/>
      <c r="M26" s="42">
        <v>1</v>
      </c>
      <c r="N26" s="42">
        <v>1</v>
      </c>
      <c r="O26" s="42">
        <v>1</v>
      </c>
      <c r="P26" s="42">
        <v>1</v>
      </c>
      <c r="Q26" s="42">
        <v>0</v>
      </c>
      <c r="R26" s="42">
        <v>0</v>
      </c>
      <c r="S26" s="42">
        <v>1</v>
      </c>
      <c r="T26" s="42">
        <f>T22+1</f>
        <v>1</v>
      </c>
      <c r="U26" s="44"/>
      <c r="W26" s="44"/>
      <c r="Y26" s="45">
        <v>0</v>
      </c>
      <c r="Z26" s="45" t="s">
        <v>5</v>
      </c>
      <c r="AA26" s="45">
        <v>3</v>
      </c>
    </row>
    <row r="27" spans="4:29" s="40" customFormat="1" ht="12.6" customHeight="1">
      <c r="D27" s="39">
        <v>2</v>
      </c>
      <c r="E27" s="39">
        <v>4</v>
      </c>
      <c r="F27" s="39">
        <v>4</v>
      </c>
      <c r="G27" s="41"/>
      <c r="H27" s="41"/>
      <c r="I27" s="41"/>
      <c r="K27" s="42">
        <v>0</v>
      </c>
      <c r="L27" s="1"/>
      <c r="M27" s="42">
        <v>1</v>
      </c>
      <c r="N27" s="42">
        <v>1</v>
      </c>
      <c r="O27" s="42">
        <v>1</v>
      </c>
      <c r="P27" s="42">
        <v>1</v>
      </c>
      <c r="Q27" s="42">
        <v>0</v>
      </c>
      <c r="R27" s="42">
        <v>1</v>
      </c>
      <c r="S27" s="42">
        <v>0</v>
      </c>
      <c r="T27" s="42">
        <v>0</v>
      </c>
      <c r="U27" s="44"/>
      <c r="W27" s="44"/>
      <c r="Y27" s="45">
        <v>0</v>
      </c>
      <c r="Z27" s="45" t="s">
        <v>5</v>
      </c>
      <c r="AA27" s="45">
        <v>4</v>
      </c>
      <c r="AC27"/>
    </row>
    <row r="28" spans="4:29" s="40" customFormat="1" ht="12.6" customHeight="1">
      <c r="D28" s="39">
        <v>2</v>
      </c>
      <c r="E28" s="39">
        <v>4</v>
      </c>
      <c r="F28" s="39">
        <v>5</v>
      </c>
      <c r="G28" s="41"/>
      <c r="H28" s="41"/>
      <c r="I28" s="41"/>
      <c r="K28" s="42">
        <v>0</v>
      </c>
      <c r="L28" s="1"/>
      <c r="M28" s="42">
        <v>1</v>
      </c>
      <c r="N28" s="42">
        <v>1</v>
      </c>
      <c r="O28" s="42">
        <v>1</v>
      </c>
      <c r="P28" s="42">
        <v>1</v>
      </c>
      <c r="Q28" s="42">
        <v>0</v>
      </c>
      <c r="R28" s="42">
        <v>1</v>
      </c>
      <c r="S28" s="42">
        <v>0</v>
      </c>
      <c r="T28" s="42">
        <f t="shared" ref="T28" si="8">T27+1</f>
        <v>1</v>
      </c>
      <c r="U28" s="44"/>
      <c r="W28" s="44"/>
      <c r="Y28" s="45">
        <v>0</v>
      </c>
      <c r="Z28" s="45" t="s">
        <v>5</v>
      </c>
      <c r="AA28" s="45">
        <v>5</v>
      </c>
    </row>
    <row r="29" spans="4:29" s="40" customFormat="1" ht="12.6" customHeight="1">
      <c r="D29" s="39">
        <v>2</v>
      </c>
      <c r="E29" s="39">
        <v>4</v>
      </c>
      <c r="F29" s="39">
        <v>6</v>
      </c>
      <c r="G29" s="41"/>
      <c r="H29" s="41"/>
      <c r="I29" s="41"/>
      <c r="K29" s="42">
        <v>0</v>
      </c>
      <c r="L29" s="1"/>
      <c r="M29" s="42">
        <v>1</v>
      </c>
      <c r="N29" s="42">
        <v>1</v>
      </c>
      <c r="O29" s="42">
        <v>1</v>
      </c>
      <c r="P29" s="42">
        <v>1</v>
      </c>
      <c r="Q29" s="42">
        <v>0</v>
      </c>
      <c r="R29" s="42">
        <v>1</v>
      </c>
      <c r="S29" s="42">
        <v>1</v>
      </c>
      <c r="T29" s="42">
        <v>0</v>
      </c>
      <c r="U29" s="44"/>
      <c r="W29" s="44"/>
      <c r="Y29" s="45">
        <v>0</v>
      </c>
      <c r="Z29" s="45" t="s">
        <v>5</v>
      </c>
      <c r="AA29" s="45">
        <v>6</v>
      </c>
      <c r="AC29"/>
    </row>
    <row r="30" spans="4:29" s="40" customFormat="1" ht="12.6" customHeight="1">
      <c r="D30" s="39">
        <v>2</v>
      </c>
      <c r="E30" s="39">
        <v>4</v>
      </c>
      <c r="F30" s="39">
        <v>7</v>
      </c>
      <c r="G30" s="41"/>
      <c r="H30" s="41"/>
      <c r="I30" s="41"/>
      <c r="K30" s="42">
        <v>0</v>
      </c>
      <c r="L30" s="1"/>
      <c r="M30" s="42">
        <v>1</v>
      </c>
      <c r="N30" s="42">
        <v>1</v>
      </c>
      <c r="O30" s="42">
        <v>1</v>
      </c>
      <c r="P30" s="42">
        <v>1</v>
      </c>
      <c r="Q30" s="42">
        <v>0</v>
      </c>
      <c r="R30" s="42">
        <v>1</v>
      </c>
      <c r="S30" s="42">
        <v>1</v>
      </c>
      <c r="T30" s="42">
        <f t="shared" ref="T30" si="9">T29+1</f>
        <v>1</v>
      </c>
      <c r="U30" s="44"/>
      <c r="W30" s="44"/>
      <c r="Y30" s="45">
        <v>0</v>
      </c>
      <c r="Z30" s="45" t="s">
        <v>5</v>
      </c>
      <c r="AA30" s="45">
        <v>7</v>
      </c>
    </row>
    <row r="31" spans="4:29" s="40" customFormat="1" ht="12.6" customHeight="1">
      <c r="D31" s="39">
        <v>2</v>
      </c>
      <c r="E31" s="39">
        <v>4</v>
      </c>
      <c r="F31" s="39">
        <v>8</v>
      </c>
      <c r="G31" s="41"/>
      <c r="H31" s="41"/>
      <c r="I31" s="41"/>
      <c r="K31" s="42">
        <v>0</v>
      </c>
      <c r="L31" s="1"/>
      <c r="M31" s="42">
        <v>1</v>
      </c>
      <c r="N31" s="42">
        <v>1</v>
      </c>
      <c r="O31" s="42">
        <v>1</v>
      </c>
      <c r="P31" s="42">
        <v>1</v>
      </c>
      <c r="Q31" s="42">
        <v>1</v>
      </c>
      <c r="R31" s="42">
        <v>0</v>
      </c>
      <c r="S31" s="42">
        <v>0</v>
      </c>
      <c r="T31" s="42">
        <v>0</v>
      </c>
      <c r="U31" s="44"/>
      <c r="W31" s="44"/>
      <c r="Y31" s="45">
        <v>0</v>
      </c>
      <c r="Z31" s="45" t="s">
        <v>5</v>
      </c>
      <c r="AA31" s="45">
        <v>8</v>
      </c>
    </row>
    <row r="32" spans="4:29" s="40" customFormat="1" ht="12.6" customHeight="1">
      <c r="D32" s="39">
        <v>2</v>
      </c>
      <c r="E32" s="39">
        <v>4</v>
      </c>
      <c r="F32" s="39">
        <v>9</v>
      </c>
      <c r="G32" s="41"/>
      <c r="H32" s="41"/>
      <c r="I32" s="41"/>
      <c r="K32" s="42">
        <v>0</v>
      </c>
      <c r="L32" s="1"/>
      <c r="M32" s="42">
        <v>1</v>
      </c>
      <c r="N32" s="42">
        <v>1</v>
      </c>
      <c r="O32" s="42">
        <v>1</v>
      </c>
      <c r="P32" s="42">
        <v>1</v>
      </c>
      <c r="Q32" s="42">
        <v>1</v>
      </c>
      <c r="R32" s="42">
        <v>0</v>
      </c>
      <c r="S32" s="42">
        <v>0</v>
      </c>
      <c r="T32" s="42">
        <f t="shared" ref="T32" si="10">T31+1</f>
        <v>1</v>
      </c>
      <c r="U32" s="44"/>
      <c r="W32" s="44"/>
      <c r="Y32" s="45">
        <v>0</v>
      </c>
      <c r="Z32" s="45" t="s">
        <v>5</v>
      </c>
      <c r="AA32" s="45">
        <v>9</v>
      </c>
    </row>
    <row r="33" spans="4:27" s="40" customFormat="1" ht="12.6" customHeight="1">
      <c r="D33" s="39">
        <v>2</v>
      </c>
      <c r="E33" s="39">
        <v>5</v>
      </c>
      <c r="F33" s="39">
        <v>0</v>
      </c>
      <c r="G33" s="41"/>
      <c r="H33" s="41"/>
      <c r="I33" s="41"/>
      <c r="K33" s="42">
        <v>0</v>
      </c>
      <c r="L33" s="1"/>
      <c r="M33" s="42">
        <v>1</v>
      </c>
      <c r="N33" s="42">
        <v>1</v>
      </c>
      <c r="O33" s="42">
        <v>1</v>
      </c>
      <c r="P33" s="42">
        <v>1</v>
      </c>
      <c r="Q33" s="42">
        <v>1</v>
      </c>
      <c r="R33" s="42">
        <v>0</v>
      </c>
      <c r="S33" s="42">
        <v>1</v>
      </c>
      <c r="T33" s="42">
        <v>0</v>
      </c>
      <c r="U33" s="44"/>
      <c r="W33" s="44"/>
      <c r="Y33" s="45">
        <v>0</v>
      </c>
      <c r="Z33" s="45" t="s">
        <v>5</v>
      </c>
      <c r="AA33" s="45" t="s">
        <v>0</v>
      </c>
    </row>
    <row r="34" spans="4:27" s="40" customFormat="1" ht="12.6" customHeight="1">
      <c r="D34" s="39">
        <v>2</v>
      </c>
      <c r="E34" s="39">
        <v>5</v>
      </c>
      <c r="F34" s="39">
        <v>1</v>
      </c>
      <c r="G34" s="41"/>
      <c r="H34" s="41"/>
      <c r="I34" s="41"/>
      <c r="K34" s="42">
        <v>0</v>
      </c>
      <c r="L34" s="1"/>
      <c r="M34" s="42">
        <v>1</v>
      </c>
      <c r="N34" s="42">
        <v>1</v>
      </c>
      <c r="O34" s="42">
        <v>1</v>
      </c>
      <c r="P34" s="42">
        <v>1</v>
      </c>
      <c r="Q34" s="42">
        <v>1</v>
      </c>
      <c r="R34" s="42">
        <v>0</v>
      </c>
      <c r="S34" s="42">
        <v>1</v>
      </c>
      <c r="T34" s="42">
        <f t="shared" ref="T34" si="11">T33+1</f>
        <v>1</v>
      </c>
      <c r="U34" s="44"/>
      <c r="W34" s="44"/>
      <c r="Y34" s="45">
        <v>0</v>
      </c>
      <c r="Z34" s="45" t="s">
        <v>5</v>
      </c>
      <c r="AA34" s="45" t="s">
        <v>1</v>
      </c>
    </row>
    <row r="35" spans="4:27" s="40" customFormat="1" ht="12.6" customHeight="1">
      <c r="D35" s="39">
        <v>2</v>
      </c>
      <c r="E35" s="39">
        <v>5</v>
      </c>
      <c r="F35" s="39">
        <v>2</v>
      </c>
      <c r="G35" s="41"/>
      <c r="H35" s="41"/>
      <c r="I35" s="41"/>
      <c r="K35" s="42">
        <v>0</v>
      </c>
      <c r="L35" s="1"/>
      <c r="M35" s="42">
        <v>1</v>
      </c>
      <c r="N35" s="42">
        <v>1</v>
      </c>
      <c r="O35" s="42">
        <v>1</v>
      </c>
      <c r="P35" s="42">
        <v>1</v>
      </c>
      <c r="Q35" s="42">
        <v>1</v>
      </c>
      <c r="R35" s="42">
        <v>1</v>
      </c>
      <c r="S35" s="42">
        <v>0</v>
      </c>
      <c r="T35" s="42">
        <v>0</v>
      </c>
      <c r="U35" s="44"/>
      <c r="W35" s="44"/>
      <c r="Y35" s="45">
        <v>0</v>
      </c>
      <c r="Z35" s="45" t="s">
        <v>5</v>
      </c>
      <c r="AA35" s="45" t="s">
        <v>2</v>
      </c>
    </row>
    <row r="36" spans="4:27" s="40" customFormat="1" ht="12.6" customHeight="1">
      <c r="D36" s="39">
        <v>2</v>
      </c>
      <c r="E36" s="39">
        <v>5</v>
      </c>
      <c r="F36" s="39">
        <v>3</v>
      </c>
      <c r="G36" s="41"/>
      <c r="H36" s="41"/>
      <c r="I36" s="41"/>
      <c r="K36" s="42">
        <v>0</v>
      </c>
      <c r="L36" s="1"/>
      <c r="M36" s="42">
        <v>1</v>
      </c>
      <c r="N36" s="42">
        <v>1</v>
      </c>
      <c r="O36" s="42">
        <v>1</v>
      </c>
      <c r="P36" s="42">
        <v>1</v>
      </c>
      <c r="Q36" s="42">
        <v>1</v>
      </c>
      <c r="R36" s="42">
        <v>1</v>
      </c>
      <c r="S36" s="42">
        <v>0</v>
      </c>
      <c r="T36" s="42">
        <f t="shared" ref="T36" si="12">T35+1</f>
        <v>1</v>
      </c>
      <c r="U36" s="44"/>
      <c r="W36" s="44"/>
      <c r="Y36" s="45">
        <v>0</v>
      </c>
      <c r="Z36" s="45" t="s">
        <v>5</v>
      </c>
      <c r="AA36" s="45" t="s">
        <v>3</v>
      </c>
    </row>
    <row r="37" spans="4:27" s="40" customFormat="1" ht="12.6" customHeight="1">
      <c r="D37" s="39">
        <v>2</v>
      </c>
      <c r="E37" s="39">
        <v>5</v>
      </c>
      <c r="F37" s="39">
        <v>4</v>
      </c>
      <c r="G37" s="41"/>
      <c r="H37" s="41"/>
      <c r="I37" s="41"/>
      <c r="K37" s="42">
        <v>0</v>
      </c>
      <c r="L37" s="1"/>
      <c r="M37" s="42">
        <v>1</v>
      </c>
      <c r="N37" s="42">
        <v>1</v>
      </c>
      <c r="O37" s="42">
        <v>1</v>
      </c>
      <c r="P37" s="42">
        <v>1</v>
      </c>
      <c r="Q37" s="42">
        <v>1</v>
      </c>
      <c r="R37" s="42">
        <v>1</v>
      </c>
      <c r="S37" s="42">
        <v>1</v>
      </c>
      <c r="T37" s="42">
        <v>0</v>
      </c>
      <c r="U37" s="44"/>
      <c r="W37" s="44"/>
      <c r="Y37" s="45">
        <v>0</v>
      </c>
      <c r="Z37" s="45" t="s">
        <v>5</v>
      </c>
      <c r="AA37" s="45" t="s">
        <v>4</v>
      </c>
    </row>
    <row r="38" spans="4:27" s="40" customFormat="1" ht="12.6" customHeight="1">
      <c r="D38" s="49">
        <v>2</v>
      </c>
      <c r="E38" s="49">
        <v>5</v>
      </c>
      <c r="F38" s="49">
        <v>5</v>
      </c>
      <c r="G38" s="41"/>
      <c r="H38" s="41"/>
      <c r="I38" s="41"/>
      <c r="K38" s="50">
        <v>0</v>
      </c>
      <c r="L38" s="1"/>
      <c r="M38" s="50">
        <v>1</v>
      </c>
      <c r="N38" s="50">
        <v>1</v>
      </c>
      <c r="O38" s="50">
        <v>1</v>
      </c>
      <c r="P38" s="50">
        <v>1</v>
      </c>
      <c r="Q38" s="50">
        <v>1</v>
      </c>
      <c r="R38" s="50">
        <v>1</v>
      </c>
      <c r="S38" s="50">
        <v>1</v>
      </c>
      <c r="T38" s="50">
        <f t="shared" ref="T38" si="13">T37+1</f>
        <v>1</v>
      </c>
      <c r="U38" s="44"/>
      <c r="W38" s="44"/>
      <c r="Y38" s="51">
        <v>0</v>
      </c>
      <c r="Z38" s="51" t="s">
        <v>5</v>
      </c>
      <c r="AA38" s="51" t="s">
        <v>5</v>
      </c>
    </row>
    <row r="39" spans="4:27" s="40" customFormat="1" ht="12.6" customHeight="1">
      <c r="D39" s="39">
        <v>2</v>
      </c>
      <c r="E39" s="39">
        <v>5</v>
      </c>
      <c r="F39" s="39">
        <v>6</v>
      </c>
      <c r="G39" s="41"/>
      <c r="H39" s="41"/>
      <c r="I39" s="41"/>
      <c r="K39" s="42">
        <v>1</v>
      </c>
      <c r="L39" s="1"/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4"/>
      <c r="W39" s="44"/>
      <c r="Y39" s="45">
        <v>1</v>
      </c>
      <c r="Z39" s="45">
        <v>0</v>
      </c>
      <c r="AA39" s="45">
        <v>0</v>
      </c>
    </row>
    <row r="40" spans="4:27" s="40" customFormat="1" ht="12.6" customHeight="1">
      <c r="D40" s="52">
        <v>2</v>
      </c>
      <c r="E40" s="52">
        <v>5</v>
      </c>
      <c r="F40" s="52">
        <v>7</v>
      </c>
      <c r="G40" s="41"/>
      <c r="H40" s="41"/>
      <c r="I40" s="41"/>
      <c r="K40" s="47">
        <v>1</v>
      </c>
      <c r="L40" s="1"/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f t="shared" ref="T40" si="14">T39+1</f>
        <v>1</v>
      </c>
      <c r="U40" s="44"/>
      <c r="W40" s="44"/>
      <c r="Y40" s="48">
        <v>1</v>
      </c>
      <c r="Z40" s="48">
        <v>0</v>
      </c>
      <c r="AA40" s="48">
        <v>1</v>
      </c>
    </row>
    <row r="41" spans="4:27" s="40" customFormat="1" ht="12.6" customHeight="1">
      <c r="D41" s="39">
        <v>2</v>
      </c>
      <c r="E41" s="39">
        <v>5</v>
      </c>
      <c r="F41" s="39">
        <v>8</v>
      </c>
      <c r="G41" s="41"/>
      <c r="H41" s="41"/>
      <c r="I41" s="41"/>
      <c r="K41" s="42">
        <v>1</v>
      </c>
      <c r="L41" s="1"/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1</v>
      </c>
      <c r="T41" s="42">
        <v>0</v>
      </c>
      <c r="U41" s="44"/>
      <c r="W41" s="44"/>
      <c r="Y41" s="45">
        <v>1</v>
      </c>
      <c r="Z41" s="45">
        <v>0</v>
      </c>
      <c r="AA41" s="45">
        <v>3</v>
      </c>
    </row>
  </sheetData>
  <pageMargins left="0.7" right="0.7" top="0.75" bottom="0.75" header="0.3" footer="0.3"/>
  <headerFooter>
    <oddFooter>&amp;L_x000D_&amp;1#&amp;"Calibri"&amp;10&amp;K000000 MAHLE internal restricted (CL2)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7B77-24CF-4074-B17E-E35A7C8481D5}">
  <dimension ref="B3:AC45"/>
  <sheetViews>
    <sheetView showGridLines="0" showRowColHeaders="0" tabSelected="1" zoomScale="90" zoomScaleNormal="90" workbookViewId="0">
      <selection activeCell="H47" sqref="H47"/>
    </sheetView>
  </sheetViews>
  <sheetFormatPr defaultRowHeight="13.8"/>
  <cols>
    <col min="1" max="2" width="4.19921875" style="1" customWidth="1"/>
    <col min="3" max="3" width="1.5" style="1" customWidth="1"/>
    <col min="4" max="9" width="4.19921875" style="1" customWidth="1"/>
    <col min="10" max="10" width="1.59765625" style="1" customWidth="1"/>
    <col min="11" max="11" width="4.296875" style="1" customWidth="1"/>
    <col min="12" max="12" width="0.796875" style="1" customWidth="1"/>
    <col min="13" max="13" width="4.296875" style="1" customWidth="1"/>
    <col min="14" max="23" width="4.19921875" style="1" customWidth="1"/>
    <col min="24" max="24" width="2.19921875" style="1" customWidth="1"/>
    <col min="25" max="27" width="4.19921875" style="1" customWidth="1"/>
    <col min="28" max="16384" width="8.796875" style="1"/>
  </cols>
  <sheetData>
    <row r="3" spans="2:27">
      <c r="D3" s="7">
        <v>100</v>
      </c>
      <c r="E3" s="7">
        <v>10</v>
      </c>
      <c r="F3" s="7">
        <v>1</v>
      </c>
      <c r="K3" s="7">
        <v>256</v>
      </c>
      <c r="M3" s="7">
        <v>128</v>
      </c>
      <c r="N3" s="7">
        <v>64</v>
      </c>
      <c r="O3" s="7">
        <v>32</v>
      </c>
      <c r="P3" s="25">
        <v>16</v>
      </c>
      <c r="Q3" s="10">
        <v>8</v>
      </c>
      <c r="R3" s="10">
        <v>4</v>
      </c>
      <c r="S3" s="10">
        <v>2</v>
      </c>
      <c r="T3" s="10">
        <v>1</v>
      </c>
      <c r="Y3" s="7">
        <v>256</v>
      </c>
      <c r="Z3" s="25">
        <v>16</v>
      </c>
      <c r="AA3" s="10">
        <v>1</v>
      </c>
    </row>
    <row r="4" spans="2:27" s="40" customFormat="1" ht="12.6" customHeight="1">
      <c r="B4" s="39">
        <v>0</v>
      </c>
      <c r="D4" s="39">
        <v>0</v>
      </c>
      <c r="E4" s="39">
        <v>0</v>
      </c>
      <c r="F4" s="39">
        <v>0</v>
      </c>
      <c r="G4" s="41"/>
      <c r="H4" s="41"/>
      <c r="I4" s="42">
        <v>0</v>
      </c>
      <c r="K4" s="42">
        <v>0</v>
      </c>
      <c r="L4" s="1"/>
      <c r="M4" s="42">
        <v>0</v>
      </c>
      <c r="N4" s="42">
        <v>0</v>
      </c>
      <c r="O4" s="42">
        <v>0</v>
      </c>
      <c r="P4" s="43">
        <v>0</v>
      </c>
      <c r="Q4" s="42">
        <v>0</v>
      </c>
      <c r="R4" s="42">
        <v>0</v>
      </c>
      <c r="S4" s="42">
        <v>0</v>
      </c>
      <c r="T4" s="42">
        <v>0</v>
      </c>
      <c r="U4" s="44"/>
      <c r="W4" s="45">
        <v>0</v>
      </c>
      <c r="Y4" s="45">
        <v>0</v>
      </c>
      <c r="Z4" s="46">
        <v>0</v>
      </c>
      <c r="AA4" s="45">
        <v>0</v>
      </c>
    </row>
    <row r="5" spans="2:27" s="40" customFormat="1" ht="12.6" customHeight="1">
      <c r="B5" s="39">
        <v>1</v>
      </c>
      <c r="D5" s="39">
        <v>0</v>
      </c>
      <c r="E5" s="39">
        <v>0</v>
      </c>
      <c r="F5" s="39">
        <v>1</v>
      </c>
      <c r="G5" s="41"/>
      <c r="H5" s="41"/>
      <c r="I5" s="42">
        <f>I4+1</f>
        <v>1</v>
      </c>
      <c r="K5" s="42">
        <v>0</v>
      </c>
      <c r="L5" s="1"/>
      <c r="M5" s="42">
        <v>0</v>
      </c>
      <c r="N5" s="42">
        <v>0</v>
      </c>
      <c r="O5" s="42">
        <v>0</v>
      </c>
      <c r="P5" s="43">
        <v>0</v>
      </c>
      <c r="Q5" s="42">
        <v>0</v>
      </c>
      <c r="R5" s="42">
        <v>0</v>
      </c>
      <c r="S5" s="42">
        <v>0</v>
      </c>
      <c r="T5" s="42">
        <f>T4+1</f>
        <v>1</v>
      </c>
      <c r="U5" s="44"/>
      <c r="W5" s="45">
        <v>1</v>
      </c>
      <c r="Y5" s="45">
        <v>0</v>
      </c>
      <c r="Z5" s="46">
        <v>0</v>
      </c>
      <c r="AA5" s="45">
        <v>1</v>
      </c>
    </row>
    <row r="6" spans="2:27" s="40" customFormat="1" ht="12.6" customHeight="1">
      <c r="B6" s="39">
        <v>2</v>
      </c>
      <c r="D6" s="39">
        <v>0</v>
      </c>
      <c r="E6" s="39">
        <v>0</v>
      </c>
      <c r="F6" s="39">
        <v>2</v>
      </c>
      <c r="G6" s="41"/>
      <c r="H6" s="41"/>
      <c r="I6" s="41"/>
      <c r="K6" s="42">
        <v>0</v>
      </c>
      <c r="L6" s="1"/>
      <c r="M6" s="42">
        <v>0</v>
      </c>
      <c r="N6" s="42">
        <v>0</v>
      </c>
      <c r="O6" s="42">
        <v>0</v>
      </c>
      <c r="P6" s="43">
        <v>0</v>
      </c>
      <c r="Q6" s="42">
        <v>0</v>
      </c>
      <c r="R6" s="42">
        <v>0</v>
      </c>
      <c r="S6" s="42">
        <v>1</v>
      </c>
      <c r="T6" s="42">
        <v>0</v>
      </c>
      <c r="U6" s="44"/>
      <c r="W6" s="45">
        <v>2</v>
      </c>
      <c r="Y6" s="45">
        <v>0</v>
      </c>
      <c r="Z6" s="46">
        <v>0</v>
      </c>
      <c r="AA6" s="45">
        <v>2</v>
      </c>
    </row>
    <row r="7" spans="2:27" s="40" customFormat="1" ht="12.6" customHeight="1">
      <c r="B7" s="39">
        <v>3</v>
      </c>
      <c r="D7" s="39">
        <v>0</v>
      </c>
      <c r="E7" s="39">
        <v>0</v>
      </c>
      <c r="F7" s="39">
        <v>3</v>
      </c>
      <c r="G7" s="41"/>
      <c r="H7" s="41"/>
      <c r="I7" s="41"/>
      <c r="K7" s="42">
        <v>0</v>
      </c>
      <c r="L7" s="1"/>
      <c r="M7" s="42">
        <v>0</v>
      </c>
      <c r="N7" s="42">
        <v>0</v>
      </c>
      <c r="O7" s="42">
        <v>0</v>
      </c>
      <c r="P7" s="43">
        <v>0</v>
      </c>
      <c r="Q7" s="42">
        <v>0</v>
      </c>
      <c r="R7" s="42">
        <v>0</v>
      </c>
      <c r="S7" s="42">
        <v>1</v>
      </c>
      <c r="T7" s="42">
        <f t="shared" ref="T7" si="0">T6+1</f>
        <v>1</v>
      </c>
      <c r="U7" s="44"/>
      <c r="W7" s="45">
        <v>3</v>
      </c>
      <c r="Y7" s="45">
        <v>0</v>
      </c>
      <c r="Z7" s="46">
        <v>0</v>
      </c>
      <c r="AA7" s="45">
        <v>3</v>
      </c>
    </row>
    <row r="8" spans="2:27" s="40" customFormat="1" ht="12.6" customHeight="1">
      <c r="B8" s="39">
        <v>4</v>
      </c>
      <c r="D8" s="39">
        <v>0</v>
      </c>
      <c r="E8" s="39">
        <v>0</v>
      </c>
      <c r="F8" s="39">
        <v>4</v>
      </c>
      <c r="G8" s="41"/>
      <c r="H8" s="41"/>
      <c r="I8" s="41"/>
      <c r="K8" s="42">
        <v>0</v>
      </c>
      <c r="L8" s="1"/>
      <c r="M8" s="42">
        <v>0</v>
      </c>
      <c r="N8" s="42">
        <v>0</v>
      </c>
      <c r="O8" s="42">
        <v>0</v>
      </c>
      <c r="P8" s="43">
        <v>0</v>
      </c>
      <c r="Q8" s="42">
        <v>0</v>
      </c>
      <c r="R8" s="42">
        <v>1</v>
      </c>
      <c r="S8" s="42">
        <v>0</v>
      </c>
      <c r="T8" s="42">
        <v>0</v>
      </c>
      <c r="U8" s="44"/>
      <c r="W8" s="45">
        <v>4</v>
      </c>
      <c r="Y8" s="45">
        <v>0</v>
      </c>
      <c r="Z8" s="46">
        <v>0</v>
      </c>
      <c r="AA8" s="45">
        <v>4</v>
      </c>
    </row>
    <row r="9" spans="2:27" s="40" customFormat="1" ht="12.6" customHeight="1">
      <c r="B9" s="39">
        <v>5</v>
      </c>
      <c r="D9" s="39">
        <v>0</v>
      </c>
      <c r="E9" s="39">
        <v>0</v>
      </c>
      <c r="F9" s="39">
        <v>5</v>
      </c>
      <c r="G9" s="41"/>
      <c r="H9" s="41"/>
      <c r="I9" s="41"/>
      <c r="K9" s="42">
        <v>0</v>
      </c>
      <c r="L9" s="1"/>
      <c r="M9" s="42">
        <v>0</v>
      </c>
      <c r="N9" s="42">
        <v>0</v>
      </c>
      <c r="O9" s="42">
        <v>0</v>
      </c>
      <c r="P9" s="43">
        <v>0</v>
      </c>
      <c r="Q9" s="42">
        <v>0</v>
      </c>
      <c r="R9" s="42">
        <v>1</v>
      </c>
      <c r="S9" s="42">
        <v>0</v>
      </c>
      <c r="T9" s="42">
        <f t="shared" ref="T9" si="1">T8+1</f>
        <v>1</v>
      </c>
      <c r="U9" s="44"/>
      <c r="W9" s="45">
        <v>5</v>
      </c>
      <c r="Y9" s="45">
        <v>0</v>
      </c>
      <c r="Z9" s="46">
        <v>0</v>
      </c>
      <c r="AA9" s="45">
        <v>5</v>
      </c>
    </row>
    <row r="10" spans="2:27" s="40" customFormat="1" ht="12.6" customHeight="1">
      <c r="B10" s="39">
        <v>6</v>
      </c>
      <c r="D10" s="39">
        <v>0</v>
      </c>
      <c r="E10" s="39">
        <v>0</v>
      </c>
      <c r="F10" s="39">
        <v>6</v>
      </c>
      <c r="G10" s="41"/>
      <c r="H10" s="41"/>
      <c r="I10" s="41"/>
      <c r="K10" s="42">
        <v>0</v>
      </c>
      <c r="L10" s="1"/>
      <c r="M10" s="42">
        <v>0</v>
      </c>
      <c r="N10" s="42">
        <v>0</v>
      </c>
      <c r="O10" s="42">
        <v>0</v>
      </c>
      <c r="P10" s="43">
        <v>0</v>
      </c>
      <c r="Q10" s="42">
        <v>0</v>
      </c>
      <c r="R10" s="42">
        <v>1</v>
      </c>
      <c r="S10" s="42">
        <v>1</v>
      </c>
      <c r="T10" s="42">
        <v>0</v>
      </c>
      <c r="U10" s="44"/>
      <c r="W10" s="45">
        <v>6</v>
      </c>
      <c r="Y10" s="45">
        <v>0</v>
      </c>
      <c r="Z10" s="46">
        <v>0</v>
      </c>
      <c r="AA10" s="45">
        <v>6</v>
      </c>
    </row>
    <row r="11" spans="2:27" s="40" customFormat="1" ht="12.6" customHeight="1">
      <c r="B11" s="39">
        <v>7</v>
      </c>
      <c r="D11" s="39">
        <v>0</v>
      </c>
      <c r="E11" s="39">
        <v>0</v>
      </c>
      <c r="F11" s="39">
        <v>7</v>
      </c>
      <c r="G11" s="41"/>
      <c r="H11" s="41"/>
      <c r="I11" s="41"/>
      <c r="K11" s="42">
        <v>0</v>
      </c>
      <c r="L11" s="1"/>
      <c r="M11" s="42">
        <v>0</v>
      </c>
      <c r="N11" s="42">
        <v>0</v>
      </c>
      <c r="O11" s="42">
        <v>0</v>
      </c>
      <c r="P11" s="43">
        <v>0</v>
      </c>
      <c r="Q11" s="42">
        <v>0</v>
      </c>
      <c r="R11" s="42">
        <v>1</v>
      </c>
      <c r="S11" s="42">
        <v>1</v>
      </c>
      <c r="T11" s="42">
        <f t="shared" ref="T11" si="2">T10+1</f>
        <v>1</v>
      </c>
      <c r="U11" s="44"/>
      <c r="W11" s="45">
        <v>7</v>
      </c>
      <c r="Y11" s="45">
        <v>0</v>
      </c>
      <c r="Z11" s="46">
        <v>0</v>
      </c>
      <c r="AA11" s="45">
        <v>7</v>
      </c>
    </row>
    <row r="12" spans="2:27" s="40" customFormat="1" ht="12.6" customHeight="1">
      <c r="B12" s="39">
        <v>8</v>
      </c>
      <c r="D12" s="39">
        <v>0</v>
      </c>
      <c r="E12" s="39">
        <v>0</v>
      </c>
      <c r="F12" s="39">
        <v>8</v>
      </c>
      <c r="G12" s="41"/>
      <c r="H12" s="41"/>
      <c r="I12" s="41"/>
      <c r="K12" s="42">
        <v>0</v>
      </c>
      <c r="L12" s="1"/>
      <c r="M12" s="42">
        <v>0</v>
      </c>
      <c r="N12" s="42">
        <v>0</v>
      </c>
      <c r="O12" s="42">
        <v>0</v>
      </c>
      <c r="P12" s="43">
        <v>0</v>
      </c>
      <c r="Q12" s="42">
        <v>1</v>
      </c>
      <c r="R12" s="42">
        <v>0</v>
      </c>
      <c r="S12" s="42">
        <v>0</v>
      </c>
      <c r="T12" s="42">
        <v>0</v>
      </c>
      <c r="U12" s="44"/>
      <c r="W12" s="45">
        <v>8</v>
      </c>
      <c r="Y12" s="45">
        <v>0</v>
      </c>
      <c r="Z12" s="46">
        <v>0</v>
      </c>
      <c r="AA12" s="45">
        <v>8</v>
      </c>
    </row>
    <row r="13" spans="2:27" s="40" customFormat="1" ht="12.6" customHeight="1">
      <c r="B13" s="39">
        <v>9</v>
      </c>
      <c r="D13" s="39">
        <v>0</v>
      </c>
      <c r="E13" s="39">
        <v>0</v>
      </c>
      <c r="F13" s="39">
        <v>9</v>
      </c>
      <c r="G13" s="41"/>
      <c r="H13" s="41"/>
      <c r="I13" s="41"/>
      <c r="K13" s="42">
        <v>0</v>
      </c>
      <c r="L13" s="1"/>
      <c r="M13" s="42">
        <v>0</v>
      </c>
      <c r="N13" s="42">
        <v>0</v>
      </c>
      <c r="O13" s="42">
        <v>0</v>
      </c>
      <c r="P13" s="43">
        <v>0</v>
      </c>
      <c r="Q13" s="42">
        <v>1</v>
      </c>
      <c r="R13" s="42">
        <v>0</v>
      </c>
      <c r="S13" s="42">
        <v>0</v>
      </c>
      <c r="T13" s="42">
        <f t="shared" ref="T13" si="3">T12+1</f>
        <v>1</v>
      </c>
      <c r="U13" s="44"/>
      <c r="W13" s="45">
        <v>9</v>
      </c>
      <c r="Y13" s="45">
        <v>0</v>
      </c>
      <c r="Z13" s="46">
        <v>0</v>
      </c>
      <c r="AA13" s="45">
        <v>9</v>
      </c>
    </row>
    <row r="14" spans="2:27" s="40" customFormat="1" ht="12.6" customHeight="1">
      <c r="D14" s="39">
        <v>0</v>
      </c>
      <c r="E14" s="39">
        <v>1</v>
      </c>
      <c r="F14" s="39">
        <v>0</v>
      </c>
      <c r="G14" s="41"/>
      <c r="H14" s="41"/>
      <c r="I14" s="41"/>
      <c r="K14" s="42">
        <v>0</v>
      </c>
      <c r="L14" s="1"/>
      <c r="M14" s="42">
        <v>0</v>
      </c>
      <c r="N14" s="42">
        <v>0</v>
      </c>
      <c r="O14" s="42">
        <v>0</v>
      </c>
      <c r="P14" s="43">
        <v>0</v>
      </c>
      <c r="Q14" s="42">
        <v>1</v>
      </c>
      <c r="R14" s="42">
        <v>0</v>
      </c>
      <c r="S14" s="42">
        <v>1</v>
      </c>
      <c r="T14" s="42">
        <v>0</v>
      </c>
      <c r="U14" s="44"/>
      <c r="W14" s="45" t="s">
        <v>0</v>
      </c>
      <c r="Y14" s="45">
        <v>0</v>
      </c>
      <c r="Z14" s="46">
        <v>0</v>
      </c>
      <c r="AA14" s="45" t="s">
        <v>0</v>
      </c>
    </row>
    <row r="15" spans="2:27" s="40" customFormat="1" ht="12.6" customHeight="1">
      <c r="D15" s="39">
        <v>0</v>
      </c>
      <c r="E15" s="39">
        <v>1</v>
      </c>
      <c r="F15" s="39">
        <v>1</v>
      </c>
      <c r="G15" s="41"/>
      <c r="H15" s="41"/>
      <c r="I15" s="41"/>
      <c r="K15" s="42">
        <v>0</v>
      </c>
      <c r="L15" s="1"/>
      <c r="M15" s="42">
        <v>0</v>
      </c>
      <c r="N15" s="42">
        <v>0</v>
      </c>
      <c r="O15" s="42">
        <v>0</v>
      </c>
      <c r="P15" s="43">
        <v>0</v>
      </c>
      <c r="Q15" s="42">
        <v>1</v>
      </c>
      <c r="R15" s="42">
        <v>0</v>
      </c>
      <c r="S15" s="42">
        <v>1</v>
      </c>
      <c r="T15" s="42">
        <f t="shared" ref="T15" si="4">T14+1</f>
        <v>1</v>
      </c>
      <c r="U15" s="44"/>
      <c r="W15" s="45" t="s">
        <v>1</v>
      </c>
      <c r="Y15" s="45">
        <v>0</v>
      </c>
      <c r="Z15" s="46">
        <v>0</v>
      </c>
      <c r="AA15" s="45" t="s">
        <v>1</v>
      </c>
    </row>
    <row r="16" spans="2:27" s="40" customFormat="1" ht="12.6" customHeight="1">
      <c r="D16" s="39">
        <v>0</v>
      </c>
      <c r="E16" s="39">
        <v>1</v>
      </c>
      <c r="F16" s="39">
        <v>2</v>
      </c>
      <c r="G16" s="41"/>
      <c r="H16" s="41"/>
      <c r="I16" s="41"/>
      <c r="K16" s="42">
        <v>0</v>
      </c>
      <c r="L16" s="1"/>
      <c r="M16" s="42">
        <v>0</v>
      </c>
      <c r="N16" s="42">
        <v>0</v>
      </c>
      <c r="O16" s="42">
        <v>0</v>
      </c>
      <c r="P16" s="43">
        <v>0</v>
      </c>
      <c r="Q16" s="42">
        <v>1</v>
      </c>
      <c r="R16" s="42">
        <v>1</v>
      </c>
      <c r="S16" s="42">
        <v>0</v>
      </c>
      <c r="T16" s="42">
        <v>0</v>
      </c>
      <c r="U16" s="44"/>
      <c r="W16" s="45" t="s">
        <v>2</v>
      </c>
      <c r="Y16" s="45">
        <v>0</v>
      </c>
      <c r="Z16" s="46">
        <v>0</v>
      </c>
      <c r="AA16" s="45" t="s">
        <v>2</v>
      </c>
    </row>
    <row r="17" spans="4:29" s="40" customFormat="1" ht="12.6" customHeight="1">
      <c r="D17" s="39">
        <v>0</v>
      </c>
      <c r="E17" s="39">
        <v>1</v>
      </c>
      <c r="F17" s="39">
        <v>3</v>
      </c>
      <c r="G17" s="41"/>
      <c r="H17" s="41"/>
      <c r="I17" s="41"/>
      <c r="K17" s="42">
        <v>0</v>
      </c>
      <c r="L17" s="1"/>
      <c r="M17" s="42">
        <v>0</v>
      </c>
      <c r="N17" s="42">
        <v>0</v>
      </c>
      <c r="O17" s="42">
        <v>0</v>
      </c>
      <c r="P17" s="43">
        <v>0</v>
      </c>
      <c r="Q17" s="42">
        <v>1</v>
      </c>
      <c r="R17" s="42">
        <v>1</v>
      </c>
      <c r="S17" s="42">
        <v>0</v>
      </c>
      <c r="T17" s="42">
        <f t="shared" ref="T17" si="5">T16+1</f>
        <v>1</v>
      </c>
      <c r="U17" s="44"/>
      <c r="W17" s="45" t="s">
        <v>3</v>
      </c>
      <c r="Y17" s="45">
        <v>0</v>
      </c>
      <c r="Z17" s="46">
        <v>0</v>
      </c>
      <c r="AA17" s="45" t="s">
        <v>3</v>
      </c>
    </row>
    <row r="18" spans="4:29" s="40" customFormat="1" ht="12.6" customHeight="1">
      <c r="D18" s="39">
        <v>0</v>
      </c>
      <c r="E18" s="39">
        <v>1</v>
      </c>
      <c r="F18" s="39">
        <v>4</v>
      </c>
      <c r="G18" s="41"/>
      <c r="H18" s="41"/>
      <c r="I18" s="41"/>
      <c r="K18" s="42">
        <v>0</v>
      </c>
      <c r="L18" s="1"/>
      <c r="M18" s="42">
        <v>0</v>
      </c>
      <c r="N18" s="42">
        <v>0</v>
      </c>
      <c r="O18" s="42">
        <v>0</v>
      </c>
      <c r="P18" s="43">
        <v>0</v>
      </c>
      <c r="Q18" s="42">
        <v>1</v>
      </c>
      <c r="R18" s="42">
        <v>1</v>
      </c>
      <c r="S18" s="42">
        <v>1</v>
      </c>
      <c r="T18" s="42">
        <v>0</v>
      </c>
      <c r="U18" s="44"/>
      <c r="W18" s="45" t="s">
        <v>4</v>
      </c>
      <c r="Y18" s="45">
        <v>0</v>
      </c>
      <c r="Z18" s="46">
        <v>0</v>
      </c>
      <c r="AA18" s="45" t="s">
        <v>4</v>
      </c>
    </row>
    <row r="19" spans="4:29" s="40" customFormat="1" ht="12.6" customHeight="1">
      <c r="D19" s="39">
        <v>0</v>
      </c>
      <c r="E19" s="39">
        <v>1</v>
      </c>
      <c r="F19" s="39">
        <v>5</v>
      </c>
      <c r="G19" s="41"/>
      <c r="H19" s="41"/>
      <c r="I19" s="41"/>
      <c r="K19" s="42">
        <v>0</v>
      </c>
      <c r="L19" s="1"/>
      <c r="M19" s="42">
        <v>0</v>
      </c>
      <c r="N19" s="42">
        <v>0</v>
      </c>
      <c r="O19" s="42">
        <v>0</v>
      </c>
      <c r="P19" s="43">
        <v>0</v>
      </c>
      <c r="Q19" s="42">
        <v>1</v>
      </c>
      <c r="R19" s="42">
        <v>1</v>
      </c>
      <c r="S19" s="42">
        <v>1</v>
      </c>
      <c r="T19" s="42">
        <f t="shared" ref="T19" si="6">T18+1</f>
        <v>1</v>
      </c>
      <c r="U19" s="44"/>
      <c r="W19" s="45" t="s">
        <v>5</v>
      </c>
      <c r="Y19" s="45">
        <v>0</v>
      </c>
      <c r="Z19" s="46">
        <v>0</v>
      </c>
      <c r="AA19" s="45" t="s">
        <v>5</v>
      </c>
    </row>
    <row r="20" spans="4:29" s="40" customFormat="1" ht="12.6" customHeight="1">
      <c r="D20" s="39">
        <v>0</v>
      </c>
      <c r="E20" s="39">
        <v>1</v>
      </c>
      <c r="F20" s="39">
        <v>6</v>
      </c>
      <c r="G20" s="41"/>
      <c r="H20" s="41"/>
      <c r="I20" s="41"/>
      <c r="K20" s="42">
        <v>0</v>
      </c>
      <c r="L20" s="1"/>
      <c r="M20" s="42">
        <v>0</v>
      </c>
      <c r="N20" s="42">
        <v>0</v>
      </c>
      <c r="O20" s="42">
        <v>0</v>
      </c>
      <c r="P20" s="42">
        <v>1</v>
      </c>
      <c r="Q20" s="47">
        <v>0</v>
      </c>
      <c r="R20" s="47">
        <v>0</v>
      </c>
      <c r="S20" s="47">
        <v>0</v>
      </c>
      <c r="T20" s="47">
        <v>0</v>
      </c>
      <c r="U20" s="44"/>
      <c r="W20" s="44"/>
      <c r="Y20" s="45">
        <v>0</v>
      </c>
      <c r="Z20" s="45">
        <v>1</v>
      </c>
      <c r="AA20" s="48">
        <v>0</v>
      </c>
    </row>
    <row r="21" spans="4:29" s="40" customFormat="1" ht="12.6" customHeight="1">
      <c r="D21" s="39">
        <v>0</v>
      </c>
      <c r="E21" s="39">
        <v>1</v>
      </c>
      <c r="F21" s="39">
        <v>7</v>
      </c>
      <c r="G21" s="41"/>
      <c r="H21" s="41"/>
      <c r="I21" s="41"/>
      <c r="K21" s="42">
        <v>0</v>
      </c>
      <c r="L21" s="1"/>
      <c r="M21" s="42">
        <v>0</v>
      </c>
      <c r="N21" s="42">
        <v>0</v>
      </c>
      <c r="O21" s="42">
        <v>0</v>
      </c>
      <c r="P21" s="42">
        <v>1</v>
      </c>
      <c r="Q21" s="42">
        <v>0</v>
      </c>
      <c r="R21" s="42">
        <v>0</v>
      </c>
      <c r="S21" s="42">
        <v>0</v>
      </c>
      <c r="T21" s="42">
        <f t="shared" ref="T21" si="7">T20+1</f>
        <v>1</v>
      </c>
      <c r="U21" s="44"/>
      <c r="W21" s="44"/>
      <c r="Y21" s="45">
        <v>0</v>
      </c>
      <c r="Z21" s="45">
        <v>1</v>
      </c>
      <c r="AA21" s="45">
        <v>1</v>
      </c>
    </row>
    <row r="22" spans="4:29" s="40" customFormat="1" ht="12.6" customHeight="1">
      <c r="D22" s="39">
        <v>0</v>
      </c>
      <c r="E22" s="39">
        <v>1</v>
      </c>
      <c r="F22" s="39">
        <v>8</v>
      </c>
      <c r="G22" s="41"/>
      <c r="H22" s="41"/>
      <c r="I22" s="41"/>
      <c r="K22" s="42">
        <v>0</v>
      </c>
      <c r="L22" s="1"/>
      <c r="M22" s="42">
        <v>0</v>
      </c>
      <c r="N22" s="42">
        <v>0</v>
      </c>
      <c r="O22" s="42">
        <v>0</v>
      </c>
      <c r="P22" s="42">
        <v>1</v>
      </c>
      <c r="Q22" s="42">
        <v>0</v>
      </c>
      <c r="R22" s="42">
        <v>0</v>
      </c>
      <c r="S22" s="42">
        <v>1</v>
      </c>
      <c r="T22" s="42">
        <v>0</v>
      </c>
      <c r="U22" s="44"/>
      <c r="W22" s="44"/>
      <c r="Y22" s="45">
        <v>0</v>
      </c>
      <c r="Z22" s="45">
        <v>1</v>
      </c>
      <c r="AA22" s="45">
        <v>2</v>
      </c>
    </row>
    <row r="23" spans="4:29" s="40" customFormat="1" ht="7.2" customHeight="1">
      <c r="D23" s="49"/>
      <c r="E23" s="49"/>
      <c r="F23" s="49"/>
      <c r="G23" s="41"/>
      <c r="H23" s="41"/>
      <c r="I23" s="41"/>
      <c r="K23" s="50"/>
      <c r="L23" s="1"/>
      <c r="M23" s="50"/>
      <c r="N23" s="50"/>
      <c r="O23" s="50"/>
      <c r="P23" s="50"/>
      <c r="Q23" s="50"/>
      <c r="R23" s="50"/>
      <c r="S23" s="50"/>
      <c r="T23" s="50"/>
      <c r="U23" s="44"/>
      <c r="W23" s="44"/>
      <c r="Y23" s="51"/>
      <c r="Z23" s="51"/>
      <c r="AA23" s="51"/>
    </row>
    <row r="24" spans="4:29" s="41" customFormat="1" ht="12.6" customHeight="1">
      <c r="E24" s="41" t="s">
        <v>8</v>
      </c>
      <c r="K24" s="44"/>
      <c r="L24" s="1"/>
      <c r="M24" s="44"/>
      <c r="N24" s="44"/>
      <c r="O24" s="44"/>
      <c r="P24" s="44" t="s">
        <v>8</v>
      </c>
      <c r="Q24" s="44"/>
      <c r="R24" s="44"/>
      <c r="S24" s="44"/>
      <c r="T24" s="44"/>
      <c r="U24" s="44"/>
      <c r="W24" s="44"/>
      <c r="Y24" s="53"/>
      <c r="Z24" s="53" t="s">
        <v>8</v>
      </c>
      <c r="AA24" s="53"/>
    </row>
    <row r="25" spans="4:29" s="40" customFormat="1" ht="6" customHeight="1">
      <c r="D25" s="52"/>
      <c r="E25" s="52"/>
      <c r="F25" s="52"/>
      <c r="G25" s="41"/>
      <c r="H25" s="41"/>
      <c r="I25" s="41"/>
      <c r="K25" s="47"/>
      <c r="L25" s="1"/>
      <c r="M25" s="47"/>
      <c r="N25" s="47"/>
      <c r="O25" s="47"/>
      <c r="P25" s="47"/>
      <c r="Q25" s="47"/>
      <c r="R25" s="47"/>
      <c r="S25" s="47"/>
      <c r="T25" s="47"/>
      <c r="U25" s="44"/>
      <c r="W25" s="44"/>
      <c r="Y25" s="48"/>
      <c r="Z25" s="48"/>
      <c r="AA25" s="48"/>
    </row>
    <row r="26" spans="4:29" s="40" customFormat="1" ht="12.6" customHeight="1">
      <c r="D26" s="39">
        <v>2</v>
      </c>
      <c r="E26" s="39">
        <v>4</v>
      </c>
      <c r="F26" s="39">
        <v>3</v>
      </c>
      <c r="G26" s="41"/>
      <c r="H26" s="41"/>
      <c r="I26" s="41"/>
      <c r="K26" s="42">
        <v>0</v>
      </c>
      <c r="L26" s="1"/>
      <c r="M26" s="42">
        <v>1</v>
      </c>
      <c r="N26" s="42">
        <v>1</v>
      </c>
      <c r="O26" s="42">
        <v>1</v>
      </c>
      <c r="P26" s="42">
        <v>1</v>
      </c>
      <c r="Q26" s="42">
        <v>0</v>
      </c>
      <c r="R26" s="42">
        <v>0</v>
      </c>
      <c r="S26" s="42">
        <v>1</v>
      </c>
      <c r="T26" s="42">
        <f>T22+1</f>
        <v>1</v>
      </c>
      <c r="U26" s="44"/>
      <c r="W26" s="44"/>
      <c r="Y26" s="45">
        <v>0</v>
      </c>
      <c r="Z26" s="45" t="s">
        <v>5</v>
      </c>
      <c r="AA26" s="45">
        <v>3</v>
      </c>
    </row>
    <row r="27" spans="4:29" s="40" customFormat="1" ht="12.6" customHeight="1">
      <c r="D27" s="39">
        <v>2</v>
      </c>
      <c r="E27" s="39">
        <v>4</v>
      </c>
      <c r="F27" s="39">
        <v>4</v>
      </c>
      <c r="G27" s="41"/>
      <c r="H27" s="41"/>
      <c r="I27" s="41"/>
      <c r="K27" s="42">
        <v>0</v>
      </c>
      <c r="L27" s="1"/>
      <c r="M27" s="42">
        <v>1</v>
      </c>
      <c r="N27" s="42">
        <v>1</v>
      </c>
      <c r="O27" s="42">
        <v>1</v>
      </c>
      <c r="P27" s="42">
        <v>1</v>
      </c>
      <c r="Q27" s="42">
        <v>0</v>
      </c>
      <c r="R27" s="42">
        <v>1</v>
      </c>
      <c r="S27" s="42">
        <v>0</v>
      </c>
      <c r="T27" s="42">
        <v>0</v>
      </c>
      <c r="U27" s="44"/>
      <c r="W27" s="44"/>
      <c r="Y27" s="45">
        <v>0</v>
      </c>
      <c r="Z27" s="45" t="s">
        <v>5</v>
      </c>
      <c r="AA27" s="45">
        <v>4</v>
      </c>
      <c r="AC27"/>
    </row>
    <row r="28" spans="4:29" s="40" customFormat="1" ht="12.6" customHeight="1">
      <c r="D28" s="39">
        <v>2</v>
      </c>
      <c r="E28" s="39">
        <v>4</v>
      </c>
      <c r="F28" s="39">
        <v>5</v>
      </c>
      <c r="G28" s="41"/>
      <c r="H28" s="41"/>
      <c r="I28" s="41"/>
      <c r="K28" s="42">
        <v>0</v>
      </c>
      <c r="L28" s="1"/>
      <c r="M28" s="42">
        <v>1</v>
      </c>
      <c r="N28" s="42">
        <v>1</v>
      </c>
      <c r="O28" s="42">
        <v>1</v>
      </c>
      <c r="P28" s="42">
        <v>1</v>
      </c>
      <c r="Q28" s="42">
        <v>0</v>
      </c>
      <c r="R28" s="42">
        <v>1</v>
      </c>
      <c r="S28" s="42">
        <v>0</v>
      </c>
      <c r="T28" s="42">
        <f t="shared" ref="T28" si="8">T27+1</f>
        <v>1</v>
      </c>
      <c r="U28" s="44"/>
      <c r="W28" s="44"/>
      <c r="Y28" s="45">
        <v>0</v>
      </c>
      <c r="Z28" s="45" t="s">
        <v>5</v>
      </c>
      <c r="AA28" s="45">
        <v>5</v>
      </c>
    </row>
    <row r="29" spans="4:29" s="40" customFormat="1" ht="12.6" customHeight="1">
      <c r="D29" s="39">
        <v>2</v>
      </c>
      <c r="E29" s="39">
        <v>4</v>
      </c>
      <c r="F29" s="39">
        <v>6</v>
      </c>
      <c r="G29" s="41"/>
      <c r="H29" s="41"/>
      <c r="I29" s="41"/>
      <c r="K29" s="42">
        <v>0</v>
      </c>
      <c r="L29" s="1"/>
      <c r="M29" s="42">
        <v>1</v>
      </c>
      <c r="N29" s="42">
        <v>1</v>
      </c>
      <c r="O29" s="42">
        <v>1</v>
      </c>
      <c r="P29" s="42">
        <v>1</v>
      </c>
      <c r="Q29" s="42">
        <v>0</v>
      </c>
      <c r="R29" s="42">
        <v>1</v>
      </c>
      <c r="S29" s="42">
        <v>1</v>
      </c>
      <c r="T29" s="42">
        <v>0</v>
      </c>
      <c r="U29" s="44"/>
      <c r="W29" s="44"/>
      <c r="Y29" s="45">
        <v>0</v>
      </c>
      <c r="Z29" s="45" t="s">
        <v>5</v>
      </c>
      <c r="AA29" s="45">
        <v>6</v>
      </c>
      <c r="AC29"/>
    </row>
    <row r="30" spans="4:29" s="40" customFormat="1" ht="12.6" customHeight="1">
      <c r="D30" s="39">
        <v>2</v>
      </c>
      <c r="E30" s="39">
        <v>4</v>
      </c>
      <c r="F30" s="39">
        <v>7</v>
      </c>
      <c r="G30" s="41"/>
      <c r="H30" s="41"/>
      <c r="I30" s="41"/>
      <c r="K30" s="42">
        <v>0</v>
      </c>
      <c r="L30" s="1"/>
      <c r="M30" s="42">
        <v>1</v>
      </c>
      <c r="N30" s="42">
        <v>1</v>
      </c>
      <c r="O30" s="42">
        <v>1</v>
      </c>
      <c r="P30" s="42">
        <v>1</v>
      </c>
      <c r="Q30" s="42">
        <v>0</v>
      </c>
      <c r="R30" s="42">
        <v>1</v>
      </c>
      <c r="S30" s="42">
        <v>1</v>
      </c>
      <c r="T30" s="42">
        <f t="shared" ref="T30" si="9">T29+1</f>
        <v>1</v>
      </c>
      <c r="U30" s="44"/>
      <c r="W30" s="44"/>
      <c r="Y30" s="45">
        <v>0</v>
      </c>
      <c r="Z30" s="45" t="s">
        <v>5</v>
      </c>
      <c r="AA30" s="45">
        <v>7</v>
      </c>
    </row>
    <row r="31" spans="4:29" s="40" customFormat="1" ht="12.6" customHeight="1">
      <c r="D31" s="39">
        <v>2</v>
      </c>
      <c r="E31" s="39">
        <v>4</v>
      </c>
      <c r="F31" s="39">
        <v>8</v>
      </c>
      <c r="G31" s="41"/>
      <c r="H31" s="41"/>
      <c r="I31" s="41"/>
      <c r="K31" s="42">
        <v>0</v>
      </c>
      <c r="L31" s="1"/>
      <c r="M31" s="42">
        <v>1</v>
      </c>
      <c r="N31" s="42">
        <v>1</v>
      </c>
      <c r="O31" s="42">
        <v>1</v>
      </c>
      <c r="P31" s="42">
        <v>1</v>
      </c>
      <c r="Q31" s="42">
        <v>1</v>
      </c>
      <c r="R31" s="42">
        <v>0</v>
      </c>
      <c r="S31" s="42">
        <v>0</v>
      </c>
      <c r="T31" s="42">
        <v>0</v>
      </c>
      <c r="U31" s="44"/>
      <c r="W31" s="44"/>
      <c r="Y31" s="45">
        <v>0</v>
      </c>
      <c r="Z31" s="45" t="s">
        <v>5</v>
      </c>
      <c r="AA31" s="45">
        <v>8</v>
      </c>
    </row>
    <row r="32" spans="4:29" s="40" customFormat="1" ht="12.6" customHeight="1">
      <c r="D32" s="39">
        <v>2</v>
      </c>
      <c r="E32" s="39">
        <v>4</v>
      </c>
      <c r="F32" s="39">
        <v>9</v>
      </c>
      <c r="G32" s="41"/>
      <c r="H32" s="41"/>
      <c r="I32" s="41"/>
      <c r="K32" s="42">
        <v>0</v>
      </c>
      <c r="L32" s="1"/>
      <c r="M32" s="42">
        <v>1</v>
      </c>
      <c r="N32" s="42">
        <v>1</v>
      </c>
      <c r="O32" s="42">
        <v>1</v>
      </c>
      <c r="P32" s="42">
        <v>1</v>
      </c>
      <c r="Q32" s="42">
        <v>1</v>
      </c>
      <c r="R32" s="42">
        <v>0</v>
      </c>
      <c r="S32" s="42">
        <v>0</v>
      </c>
      <c r="T32" s="42">
        <f t="shared" ref="T32" si="10">T31+1</f>
        <v>1</v>
      </c>
      <c r="U32" s="44"/>
      <c r="W32" s="44"/>
      <c r="Y32" s="45">
        <v>0</v>
      </c>
      <c r="Z32" s="45" t="s">
        <v>5</v>
      </c>
      <c r="AA32" s="45">
        <v>9</v>
      </c>
    </row>
    <row r="33" spans="4:27" s="40" customFormat="1" ht="12.6" customHeight="1">
      <c r="D33" s="39">
        <v>2</v>
      </c>
      <c r="E33" s="39">
        <v>5</v>
      </c>
      <c r="F33" s="39">
        <v>0</v>
      </c>
      <c r="G33" s="41"/>
      <c r="H33" s="41"/>
      <c r="I33" s="41"/>
      <c r="K33" s="42">
        <v>0</v>
      </c>
      <c r="L33" s="1"/>
      <c r="M33" s="42">
        <v>1</v>
      </c>
      <c r="N33" s="42">
        <v>1</v>
      </c>
      <c r="O33" s="42">
        <v>1</v>
      </c>
      <c r="P33" s="42">
        <v>1</v>
      </c>
      <c r="Q33" s="42">
        <v>1</v>
      </c>
      <c r="R33" s="42">
        <v>0</v>
      </c>
      <c r="S33" s="42">
        <v>1</v>
      </c>
      <c r="T33" s="42">
        <v>0</v>
      </c>
      <c r="U33" s="44"/>
      <c r="W33" s="44"/>
      <c r="Y33" s="45">
        <v>0</v>
      </c>
      <c r="Z33" s="45" t="s">
        <v>5</v>
      </c>
      <c r="AA33" s="45" t="s">
        <v>0</v>
      </c>
    </row>
    <row r="34" spans="4:27" s="40" customFormat="1" ht="12.6" customHeight="1">
      <c r="D34" s="39">
        <v>2</v>
      </c>
      <c r="E34" s="39">
        <v>5</v>
      </c>
      <c r="F34" s="39">
        <v>1</v>
      </c>
      <c r="G34" s="41"/>
      <c r="H34" s="41"/>
      <c r="I34" s="41"/>
      <c r="K34" s="42">
        <v>0</v>
      </c>
      <c r="L34" s="1"/>
      <c r="M34" s="42">
        <v>1</v>
      </c>
      <c r="N34" s="42">
        <v>1</v>
      </c>
      <c r="O34" s="42">
        <v>1</v>
      </c>
      <c r="P34" s="42">
        <v>1</v>
      </c>
      <c r="Q34" s="42">
        <v>1</v>
      </c>
      <c r="R34" s="42">
        <v>0</v>
      </c>
      <c r="S34" s="42">
        <v>1</v>
      </c>
      <c r="T34" s="42">
        <f t="shared" ref="T34" si="11">T33+1</f>
        <v>1</v>
      </c>
      <c r="U34" s="44"/>
      <c r="W34" s="44"/>
      <c r="Y34" s="45">
        <v>0</v>
      </c>
      <c r="Z34" s="45" t="s">
        <v>5</v>
      </c>
      <c r="AA34" s="45" t="s">
        <v>1</v>
      </c>
    </row>
    <row r="35" spans="4:27" s="40" customFormat="1" ht="12.6" customHeight="1">
      <c r="D35" s="39">
        <v>2</v>
      </c>
      <c r="E35" s="39">
        <v>5</v>
      </c>
      <c r="F35" s="39">
        <v>2</v>
      </c>
      <c r="G35" s="41"/>
      <c r="H35" s="41"/>
      <c r="I35" s="41"/>
      <c r="K35" s="42">
        <v>0</v>
      </c>
      <c r="L35" s="1"/>
      <c r="M35" s="42">
        <v>1</v>
      </c>
      <c r="N35" s="42">
        <v>1</v>
      </c>
      <c r="O35" s="42">
        <v>1</v>
      </c>
      <c r="P35" s="42">
        <v>1</v>
      </c>
      <c r="Q35" s="42">
        <v>1</v>
      </c>
      <c r="R35" s="42">
        <v>1</v>
      </c>
      <c r="S35" s="42">
        <v>0</v>
      </c>
      <c r="T35" s="42">
        <v>0</v>
      </c>
      <c r="U35" s="44"/>
      <c r="W35" s="44"/>
      <c r="Y35" s="45">
        <v>0</v>
      </c>
      <c r="Z35" s="45" t="s">
        <v>5</v>
      </c>
      <c r="AA35" s="45" t="s">
        <v>2</v>
      </c>
    </row>
    <row r="36" spans="4:27" s="40" customFormat="1" ht="12.6" customHeight="1">
      <c r="D36" s="39">
        <v>2</v>
      </c>
      <c r="E36" s="39">
        <v>5</v>
      </c>
      <c r="F36" s="39">
        <v>3</v>
      </c>
      <c r="G36" s="41"/>
      <c r="H36" s="41"/>
      <c r="I36" s="41"/>
      <c r="K36" s="42">
        <v>0</v>
      </c>
      <c r="L36" s="1"/>
      <c r="M36" s="42">
        <v>1</v>
      </c>
      <c r="N36" s="42">
        <v>1</v>
      </c>
      <c r="O36" s="42">
        <v>1</v>
      </c>
      <c r="P36" s="42">
        <v>1</v>
      </c>
      <c r="Q36" s="42">
        <v>1</v>
      </c>
      <c r="R36" s="42">
        <v>1</v>
      </c>
      <c r="S36" s="42">
        <v>0</v>
      </c>
      <c r="T36" s="42">
        <f t="shared" ref="T36" si="12">T35+1</f>
        <v>1</v>
      </c>
      <c r="U36" s="44"/>
      <c r="W36" s="44"/>
      <c r="Y36" s="45">
        <v>0</v>
      </c>
      <c r="Z36" s="45" t="s">
        <v>5</v>
      </c>
      <c r="AA36" s="45" t="s">
        <v>3</v>
      </c>
    </row>
    <row r="37" spans="4:27" s="40" customFormat="1" ht="12.6" customHeight="1">
      <c r="D37" s="39">
        <v>2</v>
      </c>
      <c r="E37" s="39">
        <v>5</v>
      </c>
      <c r="F37" s="39">
        <v>4</v>
      </c>
      <c r="G37" s="41"/>
      <c r="H37" s="41"/>
      <c r="I37" s="41"/>
      <c r="K37" s="42">
        <v>0</v>
      </c>
      <c r="L37" s="1"/>
      <c r="M37" s="42">
        <v>1</v>
      </c>
      <c r="N37" s="42">
        <v>1</v>
      </c>
      <c r="O37" s="42">
        <v>1</v>
      </c>
      <c r="P37" s="42">
        <v>1</v>
      </c>
      <c r="Q37" s="42">
        <v>1</v>
      </c>
      <c r="R37" s="42">
        <v>1</v>
      </c>
      <c r="S37" s="42">
        <v>1</v>
      </c>
      <c r="T37" s="42">
        <v>0</v>
      </c>
      <c r="U37" s="44"/>
      <c r="W37" s="44"/>
      <c r="Y37" s="45">
        <v>0</v>
      </c>
      <c r="Z37" s="45" t="s">
        <v>5</v>
      </c>
      <c r="AA37" s="45" t="s">
        <v>4</v>
      </c>
    </row>
    <row r="38" spans="4:27" s="40" customFormat="1" ht="12.6" customHeight="1">
      <c r="D38" s="49">
        <v>2</v>
      </c>
      <c r="E38" s="49">
        <v>5</v>
      </c>
      <c r="F38" s="49">
        <v>5</v>
      </c>
      <c r="G38" s="41"/>
      <c r="H38" s="41"/>
      <c r="I38" s="41"/>
      <c r="K38" s="50">
        <v>0</v>
      </c>
      <c r="L38" s="1"/>
      <c r="M38" s="50">
        <v>1</v>
      </c>
      <c r="N38" s="50">
        <v>1</v>
      </c>
      <c r="O38" s="50">
        <v>1</v>
      </c>
      <c r="P38" s="50">
        <v>1</v>
      </c>
      <c r="Q38" s="50">
        <v>1</v>
      </c>
      <c r="R38" s="50">
        <v>1</v>
      </c>
      <c r="S38" s="50">
        <v>1</v>
      </c>
      <c r="T38" s="50">
        <f t="shared" ref="T38" si="13">T37+1</f>
        <v>1</v>
      </c>
      <c r="U38" s="44"/>
      <c r="W38" s="44"/>
      <c r="Y38" s="51">
        <v>0</v>
      </c>
      <c r="Z38" s="51" t="s">
        <v>5</v>
      </c>
      <c r="AA38" s="51" t="s">
        <v>5</v>
      </c>
    </row>
    <row r="39" spans="4:27" s="40" customFormat="1" ht="12.6" customHeight="1">
      <c r="D39" s="39">
        <v>2</v>
      </c>
      <c r="E39" s="39">
        <v>5</v>
      </c>
      <c r="F39" s="39">
        <v>6</v>
      </c>
      <c r="G39" s="41"/>
      <c r="H39" s="41"/>
      <c r="I39" s="41"/>
      <c r="K39" s="42">
        <v>1</v>
      </c>
      <c r="L39" s="1"/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4"/>
      <c r="W39" s="44"/>
      <c r="Y39" s="45">
        <v>1</v>
      </c>
      <c r="Z39" s="45">
        <v>0</v>
      </c>
      <c r="AA39" s="45">
        <v>0</v>
      </c>
    </row>
    <row r="40" spans="4:27" s="40" customFormat="1" ht="12.6" customHeight="1">
      <c r="D40" s="52">
        <v>2</v>
      </c>
      <c r="E40" s="52">
        <v>5</v>
      </c>
      <c r="F40" s="52">
        <v>7</v>
      </c>
      <c r="G40" s="41"/>
      <c r="H40" s="41"/>
      <c r="I40" s="41"/>
      <c r="K40" s="47">
        <v>1</v>
      </c>
      <c r="L40" s="1"/>
      <c r="M40" s="47">
        <v>0</v>
      </c>
      <c r="N40" s="47">
        <v>0</v>
      </c>
      <c r="O40" s="47">
        <v>0</v>
      </c>
      <c r="P40" s="47">
        <v>0</v>
      </c>
      <c r="Q40" s="47">
        <v>0</v>
      </c>
      <c r="R40" s="47">
        <v>0</v>
      </c>
      <c r="S40" s="47">
        <v>0</v>
      </c>
      <c r="T40" s="47">
        <f t="shared" ref="T40" si="14">T39+1</f>
        <v>1</v>
      </c>
      <c r="U40" s="44"/>
      <c r="W40" s="44"/>
      <c r="Y40" s="48">
        <v>1</v>
      </c>
      <c r="Z40" s="48">
        <v>0</v>
      </c>
      <c r="AA40" s="48">
        <v>1</v>
      </c>
    </row>
    <row r="41" spans="4:27" s="40" customFormat="1" ht="12.6" customHeight="1">
      <c r="D41" s="39">
        <v>2</v>
      </c>
      <c r="E41" s="39">
        <v>5</v>
      </c>
      <c r="F41" s="39">
        <v>8</v>
      </c>
      <c r="G41" s="41"/>
      <c r="H41" s="41"/>
      <c r="I41" s="41"/>
      <c r="K41" s="42">
        <v>1</v>
      </c>
      <c r="L41" s="1"/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1</v>
      </c>
      <c r="T41" s="42">
        <v>0</v>
      </c>
      <c r="U41" s="44"/>
      <c r="W41" s="44"/>
      <c r="Y41" s="45">
        <v>1</v>
      </c>
      <c r="Z41" s="45">
        <v>0</v>
      </c>
      <c r="AA41" s="45">
        <v>3</v>
      </c>
    </row>
    <row r="43" spans="4:27">
      <c r="D43" s="39">
        <v>2</v>
      </c>
      <c r="E43" s="39">
        <v>4</v>
      </c>
      <c r="F43" s="39">
        <v>4</v>
      </c>
      <c r="H43" s="8" t="s">
        <v>9</v>
      </c>
      <c r="M43" s="42">
        <v>1</v>
      </c>
      <c r="N43" s="42">
        <v>1</v>
      </c>
      <c r="O43" s="42">
        <v>1</v>
      </c>
      <c r="P43" s="42">
        <v>1</v>
      </c>
      <c r="Q43" s="42">
        <v>0</v>
      </c>
      <c r="R43" s="42">
        <v>1</v>
      </c>
      <c r="S43" s="42">
        <v>0</v>
      </c>
      <c r="T43" s="42">
        <v>0</v>
      </c>
      <c r="Y43" s="45">
        <v>0</v>
      </c>
      <c r="Z43" s="45" t="s">
        <v>5</v>
      </c>
      <c r="AA43" s="45">
        <v>4</v>
      </c>
    </row>
    <row r="44" spans="4:27">
      <c r="M44" s="1">
        <v>128</v>
      </c>
      <c r="N44" s="1">
        <v>64</v>
      </c>
      <c r="O44" s="1">
        <v>32</v>
      </c>
      <c r="P44" s="1">
        <v>16</v>
      </c>
      <c r="R44" s="1">
        <v>4</v>
      </c>
      <c r="U44" s="1">
        <f>SUM(M44:T44)</f>
        <v>244</v>
      </c>
    </row>
    <row r="45" spans="4:27">
      <c r="M45" s="54" t="s">
        <v>5</v>
      </c>
      <c r="N45" s="55"/>
      <c r="O45" s="55"/>
      <c r="P45" s="55"/>
      <c r="Q45" s="54">
        <v>4</v>
      </c>
      <c r="R45" s="55"/>
      <c r="S45" s="55"/>
      <c r="T45" s="55"/>
    </row>
  </sheetData>
  <mergeCells count="2">
    <mergeCell ref="M45:P45"/>
    <mergeCell ref="Q45:T45"/>
  </mergeCells>
  <pageMargins left="0.7" right="0.7" top="0.75" bottom="0.75" header="0.3" footer="0.3"/>
  <headerFooter>
    <oddFooter>&amp;L_x000D_&amp;1#&amp;"Calibri"&amp;10&amp;K000000 MAHLE internal restricted (CL2)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</vt:lpstr>
      <vt:lpstr>3</vt:lpstr>
      <vt:lpstr>4</vt:lpstr>
    </vt:vector>
  </TitlesOfParts>
  <Company>MAHLE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Kennedy</dc:creator>
  <cp:lastModifiedBy>Gordon Kennedy</cp:lastModifiedBy>
  <dcterms:created xsi:type="dcterms:W3CDTF">2025-05-29T12:41:29Z</dcterms:created>
  <dcterms:modified xsi:type="dcterms:W3CDTF">2025-05-29T18:40:25Z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a97dba-4a48-4678-b18f-3391b0053218_Enabled">
    <vt:lpwstr>true</vt:lpwstr>
  </property>
  <property fmtid="{D5CDD505-2E9C-101B-9397-08002B2CF9AE}" pid="3" name="MSIP_Label_31a97dba-4a48-4678-b18f-3391b0053218_SetDate">
    <vt:lpwstr>2025-05-29T13:54:52Z</vt:lpwstr>
  </property>
  <property fmtid="{D5CDD505-2E9C-101B-9397-08002B2CF9AE}" pid="4" name="MSIP_Label_31a97dba-4a48-4678-b18f-3391b0053218_Method">
    <vt:lpwstr>Standard</vt:lpwstr>
  </property>
  <property fmtid="{D5CDD505-2E9C-101B-9397-08002B2CF9AE}" pid="5" name="MSIP_Label_31a97dba-4a48-4678-b18f-3391b0053218_Name">
    <vt:lpwstr>MAHLE internal restricted (CL2)</vt:lpwstr>
  </property>
  <property fmtid="{D5CDD505-2E9C-101B-9397-08002B2CF9AE}" pid="6" name="MSIP_Label_31a97dba-4a48-4678-b18f-3391b0053218_SiteId">
    <vt:lpwstr>e396b7c6-05f6-47d7-bef7-e89a9de9fd6c</vt:lpwstr>
  </property>
  <property fmtid="{D5CDD505-2E9C-101B-9397-08002B2CF9AE}" pid="7" name="MSIP_Label_31a97dba-4a48-4678-b18f-3391b0053218_ActionId">
    <vt:lpwstr>43dc2591-7263-4a0a-9474-a4476fb63b38</vt:lpwstr>
  </property>
  <property fmtid="{D5CDD505-2E9C-101B-9397-08002B2CF9AE}" pid="8" name="MSIP_Label_31a97dba-4a48-4678-b18f-3391b0053218_ContentBits">
    <vt:lpwstr>2</vt:lpwstr>
  </property>
</Properties>
</file>